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b29753ca04e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Dashboard" sheetId="1" r:id="R72ef6d337ecb4c92"/>
    <x:sheet xmlns:r="http://schemas.openxmlformats.org/officeDocument/2006/relationships" name="产品线SKU" sheetId="2" r:id="R5b292c4fdcf34aea"/>
    <x:sheet xmlns:r="http://schemas.openxmlformats.org/officeDocument/2006/relationships" name="目标市场" sheetId="3" r:id="R8923a9b21cf5450e"/>
    <x:sheet xmlns:r="http://schemas.openxmlformats.org/officeDocument/2006/relationships" name="竞品分析" sheetId="4" r:id="R7fb44b6822184550"/>
    <x:sheet xmlns:r="http://schemas.openxmlformats.org/officeDocument/2006/relationships" name="潜在客户" sheetId="5" r:id="R76135b9fbce449b6"/>
    <x:sheet xmlns:r="http://schemas.openxmlformats.org/officeDocument/2006/relationships" name="报价&amp;利润" sheetId="6" r:id="R065ab3fd81d64d1c"/>
    <x:sheet xmlns:r="http://schemas.openxmlformats.org/officeDocument/2006/relationships" name="供应商&amp;物流" sheetId="7" r:id="R132d6a592f1b43d2"/>
    <x:sheet xmlns:r="http://schemas.openxmlformats.org/officeDocument/2006/relationships" name="内容素材" sheetId="8" r:id="Refa583f7dc44443a"/>
    <x:sheet xmlns:r="http://schemas.openxmlformats.org/officeDocument/2006/relationships" name="90天任务" sheetId="9" r:id="Rc996415a46c34947"/>
    <x:sheet xmlns:r="http://schemas.openxmlformats.org/officeDocument/2006/relationships" name="下拉选项" sheetId="10" r:id="R1c190a08058e41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.00"/>
    <x:numFmt numFmtId="201" formatCode="yyyy-mm-dd"/>
    <x:numFmt numFmtId="202" formatCode="$#,##0"/>
    <x:numFmt numFmtId="203" formatCode="0.0%"/>
  </x:numFmts>
  <x:fonts count="5">
    <x:font>
      <x:sz val="11"/>
      <x:name val="Carlito"/>
    </x:font>
    <x:font>
      <x:b/>
      <x:sz val="11"/>
      <x:color rgb="FF1F2933"/>
      <x:name val="Carlito"/>
    </x:font>
    <x:font>
      <x:b/>
      <x:sz val="18"/>
      <x:color rgb="FF123047"/>
      <x:name val="Carlito"/>
    </x:font>
    <x:font>
      <x:i/>
      <x:sz val="10"/>
      <x:color rgb="FF1F2933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C8D3DA"/>
      </x:left>
      <x:right style="thin">
        <x:color rgb="FFC8D3DA"/>
      </x:right>
      <x:top style="thin">
        <x:color rgb="FFC8D3DA"/>
      </x:top>
      <x:bottom style="thin">
        <x:color rgb="FFC8D3DA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1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borderId="0" xfId="0" applyNumberFormat="1" applyFont="1" applyFill="0" applyBorder="1"/>
    <x:xf numFmtId="0" fontId="2" borderId="0" xfId="0" applyNumberFormat="1" applyFont="1" applyFill="0" applyBorder="1"/>
    <x:xf numFmtId="0" fontId="3" borderId="0" xfId="0" applyNumberFormat="1" applyFont="1" applyFill="0" applyBorder="1"/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4" borderId="0" xfId="0" applyNumberFormat="1" applyFont="1" applyFill="0" applyBorder="1"/>
    <x:xf numFmtId="203" fontId="0" borderId="1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3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borderId="0" xfId="0" applyNumberFormat="1" applyFont="1" applyFill="0" applyBorder="1" applyAlignment="1">
      <x:alignment wrapText="1"/>
    </x:xf>
    <x:xf numFmtId="0" fontId="0" borderId="1" xfId="0" applyNumberFormat="1" applyFont="1" applyFill="0" applyBorder="1" applyAlignment="1">
      <x:alignment wrapText="1"/>
    </x:xf>
    <x:xf numFmtId="203" fontId="0" borderId="1" xfId="0" applyNumberFormat="1" applyFont="1" applyFill="0" applyBorder="1" applyAlignment="1">
      <x:alignment wrapText="1"/>
    </x:xf>
  </x:cellXfs>
  <x:cellStyles count="1">
    <x:cellStyle name="Normal" xfId="0"/>
  </x:cellStyles>
  <x:dxfs count="24">
    <x:dxf>
      <x:font>
        <x:color rgb="FF2E7D32"/>
      </x:font>
    </x:dxf>
    <x:dxf>
      <x:font>
        <x:color rgb="FFB7791F"/>
      </x:font>
    </x:dxf>
    <x:dxf>
      <x:font>
        <x:b/>
        <x:color rgb="FFC2410C"/>
      </x:font>
    </x:dxf>
    <x:dxf>
      <x:font>
        <x:color rgb="FF2E7D32"/>
      </x:font>
    </x:dxf>
    <x:dxf>
      <x:font>
        <x:color rgb="FFB7791F"/>
      </x:font>
    </x:dxf>
    <x:dxf>
      <x:font>
        <x:b/>
        <x:color rgb="FFC2410C"/>
      </x:font>
    </x:dxf>
    <x:dxf>
      <x:font>
        <x:color rgb="FFC2410C"/>
      </x:font>
    </x:dxf>
    <x:dxf>
      <x:font>
        <x:b/>
        <x:color rgb="FFC2410C"/>
      </x:font>
    </x:dxf>
    <x:dxf>
      <x:font>
        <x:b/>
        <x:color rgb="FF2E7D32"/>
      </x:font>
    </x:dxf>
    <x:dxf>
      <x:font>
        <x:color rgb="FF2E7D32"/>
      </x:font>
    </x:dxf>
    <x:dxf>
      <x:font>
        <x:color rgb="FFB7791F"/>
      </x:font>
    </x:dxf>
    <x:dxf>
      <x:font>
        <x:b/>
        <x:color rgb="FFC2410C"/>
      </x:font>
    </x:dxf>
    <x:dxf>
      <x:font>
        <x:color rgb="FF2E7D32"/>
      </x:font>
    </x:dxf>
    <x:dxf>
      <x:font>
        <x:color rgb="FFB7791F"/>
      </x:font>
    </x:dxf>
    <x:dxf>
      <x:font>
        <x:b/>
        <x:color rgb="FFC2410C"/>
      </x:font>
    </x:dxf>
    <x:dxf>
      <x:font>
        <x:color rgb="FF2E7D32"/>
      </x:font>
    </x:dxf>
    <x:dxf>
      <x:font>
        <x:color rgb="FFB7791F"/>
      </x:font>
    </x:dxf>
    <x:dxf>
      <x:font>
        <x:b/>
        <x:color rgb="FFC2410C"/>
      </x:font>
    </x:dxf>
    <x:dxf>
      <x:font>
        <x:color rgb="FF2E7D32"/>
      </x:font>
    </x:dxf>
    <x:dxf>
      <x:font>
        <x:color rgb="FFB7791F"/>
      </x:font>
    </x:dxf>
    <x:dxf>
      <x:font>
        <x:b/>
        <x:color rgb="FFC2410C"/>
      </x:font>
    </x:dxf>
    <x:dxf>
      <x:font>
        <x:color rgb="FF2E7D32"/>
      </x:font>
    </x:dxf>
    <x:dxf>
      <x:font>
        <x:color rgb="FFB7791F"/>
      </x:font>
    </x:dxf>
    <x:dxf>
      <x:font>
        <x:b/>
        <x:color rgb="FFC2410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d8c4882bd84671" /><Relationship Type="http://schemas.openxmlformats.org/officeDocument/2006/relationships/theme" Target="/xl/theme/theme1.xml" Id="R8df4d2d0151040af" /><Relationship Type="http://schemas.openxmlformats.org/officeDocument/2006/relationships/sharedStrings" Target="/xl/sharedStrings.xml" Id="R242390db8b8444fc" /><Relationship Type="http://schemas.openxmlformats.org/officeDocument/2006/relationships/worksheet" Target="/xl/worksheets/sheet1.xml" Id="R72ef6d337ecb4c92" /><Relationship Type="http://schemas.openxmlformats.org/officeDocument/2006/relationships/worksheet" Target="/xl/worksheets/sheet2.xml" Id="R5b292c4fdcf34aea" /><Relationship Type="http://schemas.openxmlformats.org/officeDocument/2006/relationships/worksheet" Target="/xl/worksheets/sheet3.xml" Id="R8923a9b21cf5450e" /><Relationship Type="http://schemas.openxmlformats.org/officeDocument/2006/relationships/worksheet" Target="/xl/worksheets/sheet4.xml" Id="R7fb44b6822184550" /><Relationship Type="http://schemas.openxmlformats.org/officeDocument/2006/relationships/worksheet" Target="/xl/worksheets/sheet5.xml" Id="R76135b9fbce449b6" /><Relationship Type="http://schemas.openxmlformats.org/officeDocument/2006/relationships/worksheet" Target="/xl/worksheets/sheet6.xml" Id="R065ab3fd81d64d1c" /><Relationship Type="http://schemas.openxmlformats.org/officeDocument/2006/relationships/worksheet" Target="/xl/worksheets/sheet7.xml" Id="R132d6a592f1b43d2" /><Relationship Type="http://schemas.openxmlformats.org/officeDocument/2006/relationships/worksheet" Target="/xl/worksheets/sheet8.xml" Id="Refa583f7dc44443a" /><Relationship Type="http://schemas.openxmlformats.org/officeDocument/2006/relationships/worksheet" Target="/xl/worksheets/sheet9.xml" Id="Rc996415a46c34947" /><Relationship Type="http://schemas.openxmlformats.org/officeDocument/2006/relationships/worksheet" Target="/xl/worksheets/sheet10.xml" Id="R1c190a08058e41ed" /></Relationships>
</file>

<file path=xl/tables/table1.xml><?xml version="1.0" encoding="utf-8"?>
<x:table xmlns:x="http://schemas.openxmlformats.org/spreadsheetml/2006/main" id="10" name="MilestoneTable" displayName="MilestoneTable" ref="A8:E11" headerRowCount="1">
  <x:autoFilter ref="A8:E11"/>
  <x:tableColumns count="5">
    <x:tableColumn id="1" name="三个月里程碑"/>
    <x:tableColumn id="2" name="目标"/>
    <x:tableColumn id="3" name="关键动作"/>
    <x:tableColumn id="4" name="负责人"/>
    <x:tableColumn id="5" name="状态"/>
  </x:tableColumns>
  <x:tableStyleInfo name="TableStyleMedium2" showRowStripes="1"/>
</x:table>
</file>

<file path=xl/tables/table2.xml><?xml version="1.0" encoding="utf-8"?>
<x:table xmlns:x="http://schemas.openxmlformats.org/spreadsheetml/2006/main" id="11" name="ProgressTable" displayName="ProgressTable" ref="G8:J15" headerRowCount="1">
  <x:autoFilter ref="G8:J15"/>
  <x:tableColumns count="4">
    <x:tableColumn id="1" name="模块"/>
    <x:tableColumn id="2" name="待做"/>
    <x:tableColumn id="3" name="进行中"/>
    <x:tableColumn id="4" name="已完成"/>
  </x:tableColumns>
  <x:tableStyleInfo name="TableStyleMedium2" showRowStripes="1"/>
</x:table>
</file>

<file path=xl/tables/table3.xml><?xml version="1.0" encoding="utf-8"?>
<x:table xmlns:x="http://schemas.openxmlformats.org/spreadsheetml/2006/main" id="12" name="ThisWeekTable" displayName="ThisWeekTable" ref="A14:E20" headerRowCount="1">
  <x:autoFilter ref="A14:E20"/>
  <x:tableColumns count="5">
    <x:tableColumn id="1" name="本周必须推进"/>
    <x:tableColumn id="2" name="来源表"/>
    <x:tableColumn id="3" name="截止日期"/>
    <x:tableColumn id="4" name="状态"/>
    <x:tableColumn id="5" name="备注"/>
  </x:tableColumns>
  <x:tableStyleInfo name="TableStyleMedium2" showRowStripes="1"/>
</x:table>
</file>

<file path=xl/tables/table4.xml><?xml version="1.0" encoding="utf-8"?>
<x:table xmlns:x="http://schemas.openxmlformats.org/spreadsheetml/2006/main" id="2" name="ProductsTable" displayName="ProductsTable" ref="A3:N7" headerRowCount="1">
  <x:autoFilter ref="A3:N7"/>
  <x:tableColumns count="14">
    <x:tableColumn id="1" name="产品ID"/>
    <x:tableColumn id="2" name="产品类型"/>
    <x:tableColumn id="3" name="产品名称"/>
    <x:tableColumn id="4" name="核心卖点"/>
    <x:tableColumn id="5" name="关键参数"/>
    <x:tableColumn id="6" name="目标客户"/>
    <x:tableColumn id="7" name="目标市场"/>
    <x:tableColumn id="8" name="样品价USD"/>
    <x:tableColumn id="9" name="批量价USD"/>
    <x:tableColumn id="10" name="MOQ"/>
    <x:tableColumn id="11" name="认证/合规"/>
    <x:tableColumn id="12" name="资料状态"/>
    <x:tableColumn id="13" name="负责人"/>
    <x:tableColumn id="14" name="备注"/>
  </x:tableColumns>
  <x:tableStyleInfo name="TableStyleMedium2" showRowStripes="1"/>
</x:table>
</file>

<file path=xl/tables/table5.xml><?xml version="1.0" encoding="utf-8"?>
<x:table xmlns:x="http://schemas.openxmlformats.org/spreadsheetml/2006/main" id="3" name="MarketsTable" displayName="MarketsTable" ref="A3:M8" headerRowCount="1">
  <x:autoFilter ref="A3:M8"/>
  <x:tableColumns count="13">
    <x:tableColumn id="1" name="国家/地区"/>
    <x:tableColumn id="2" name="主推产品"/>
    <x:tableColumn id="3" name="买家画像"/>
    <x:tableColumn id="4" name="需求信号"/>
    <x:tableColumn id="5" name="价格带USD"/>
    <x:tableColumn id="6" name="认证/监管"/>
    <x:tableColumn id="7" name="物流难点"/>
    <x:tableColumn id="8" name="竞争强度"/>
    <x:tableColumn id="9" name="付款习惯"/>
    <x:tableColumn id="10" name="进入优先级"/>
    <x:tableColumn id="11" name="本月动作"/>
    <x:tableColumn id="12" name="状态"/>
    <x:tableColumn id="13" name="备注"/>
  </x:tableColumns>
  <x:tableStyleInfo name="TableStyleMedium2" showRowStripes="1"/>
</x:table>
</file>

<file path=xl/tables/table6.xml><?xml version="1.0" encoding="utf-8"?>
<x:table xmlns:x="http://schemas.openxmlformats.org/spreadsheetml/2006/main" id="4" name="CompetitorsTable" displayName="CompetitorsTable" ref="A3:L6" headerRowCount="1">
  <x:autoFilter ref="A3:L6"/>
  <x:tableColumns count="12">
    <x:tableColumn id="1" name="平台"/>
    <x:tableColumn id="2" name="竞品/店铺名"/>
    <x:tableColumn id="3" name="国家"/>
    <x:tableColumn id="4" name="产品类型"/>
    <x:tableColumn id="5" name="产品/链接关键词"/>
    <x:tableColumn id="6" name="标价USD"/>
    <x:tableColumn id="7" name="MOQ"/>
    <x:tableColumn id="8" name="核心卖点"/>
    <x:tableColumn id="9" name="弱点/机会"/>
    <x:tableColumn id="10" name="我们应对"/>
    <x:tableColumn id="11" name="优先级"/>
    <x:tableColumn id="12" name="备注"/>
  </x:tableColumns>
  <x:tableStyleInfo name="TableStyleMedium2" showRowStripes="1"/>
</x:table>
</file>

<file path=xl/tables/table7.xml><?xml version="1.0" encoding="utf-8"?>
<x:table xmlns:x="http://schemas.openxmlformats.org/spreadsheetml/2006/main" id="5" name="LeadsTable" displayName="LeadsTable" ref="A3:O5" headerRowCount="1">
  <x:autoFilter ref="A3:O5"/>
  <x:tableColumns count="15">
    <x:tableColumn id="1" name="客户ID"/>
    <x:tableColumn id="2" name="公司/联系人"/>
    <x:tableColumn id="3" name="国家"/>
    <x:tableColumn id="4" name="客户类型"/>
    <x:tableColumn id="5" name="需求产品"/>
    <x:tableColumn id="6" name="来源"/>
    <x:tableColumn id="7" name="联系方式"/>
    <x:tableColumn id="8" name="首次联系日期"/>
    <x:tableColumn id="9" name="跟进阶段"/>
    <x:tableColumn id="10" name="预算USD"/>
    <x:tableColumn id="11" name="痛点/需求"/>
    <x:tableColumn id="12" name="下一步动作"/>
    <x:tableColumn id="13" name="下次跟进"/>
    <x:tableColumn id="14" name="优先级"/>
    <x:tableColumn id="15" name="备注"/>
  </x:tableColumns>
  <x:tableStyleInfo name="TableStyleMedium2" showRowStripes="1"/>
</x:table>
</file>

<file path=xl/tables/table8.xml><?xml version="1.0" encoding="utf-8"?>
<x:table xmlns:x="http://schemas.openxmlformats.org/spreadsheetml/2006/main" id="6" name="QuotesTable" displayName="QuotesTable" ref="A3:N5" headerRowCount="1">
  <x:autoFilter ref="A3:N5"/>
  <x:tableColumns count="14">
    <x:tableColumn id="1" name="报价ID"/>
    <x:tableColumn id="2" name="日期"/>
    <x:tableColumn id="3" name="客户ID"/>
    <x:tableColumn id="4" name="产品ID"/>
    <x:tableColumn id="5" name="产品名称"/>
    <x:tableColumn id="6" name="数量"/>
    <x:tableColumn id="7" name="币种"/>
    <x:tableColumn id="8" name="采购成本/件"/>
    <x:tableColumn id="9" name="包装物流/件"/>
    <x:tableColumn id="10" name="其他成本/件"/>
    <x:tableColumn id="11" name="报价/件"/>
    <x:tableColumn id="12" name="总报价"/>
    <x:tableColumn id="13" name="毛利率"/>
    <x:tableColumn id="14" name="报价状态"/>
  </x:tableColumns>
  <x:tableStyleInfo name="TableStyleMedium2" showRowStripes="1"/>
</x:table>
</file>

<file path=xl/tables/table9.xml><?xml version="1.0" encoding="utf-8"?>
<x:table xmlns:x="http://schemas.openxmlformats.org/spreadsheetml/2006/main" id="7" name="SuppliersTable" displayName="SuppliersTable" ref="A3:N5" headerRowCount="1">
  <x:autoFilter ref="A3:N5"/>
  <x:tableColumns count="14">
    <x:tableColumn id="1" name="供应商ID"/>
    <x:tableColumn id="2" name="供应商名称"/>
    <x:tableColumn id="3" name="类型"/>
    <x:tableColumn id="4" name="可供产品"/>
    <x:tableColumn id="5" name="联系人"/>
    <x:tableColumn id="6" name="联系方式"/>
    <x:tableColumn id="7" name="城市"/>
    <x:tableColumn id="8" name="交期"/>
    <x:tableColumn id="9" name="最小起订"/>
    <x:tableColumn id="10" name="付款条件"/>
    <x:tableColumn id="11" name="质量风险"/>
    <x:tableColumn id="12" name="物流/报关备注"/>
    <x:tableColumn id="13" name="评级"/>
    <x:tableColumn id="14" name="状态"/>
  </x:tableColumns>
  <x:tableStyleInfo name="TableStyleMedium2" showRowStripes="1"/>
</x:table>
</file>

<file path=xl/tables/table10.xml><?xml version="1.0" encoding="utf-8"?>
<x:table xmlns:x="http://schemas.openxmlformats.org/spreadsheetml/2006/main" id="8" name="ContentTable" displayName="ContentTable" ref="A3:M6" headerRowCount="1">
  <x:autoFilter ref="A3:M6"/>
  <x:tableColumns count="13">
    <x:tableColumn id="1" name="素材ID"/>
    <x:tableColumn id="2" name="渠道"/>
    <x:tableColumn id="3" name="产品类型"/>
    <x:tableColumn id="4" name="内容主题"/>
    <x:tableColumn id="5" name="内容形式"/>
    <x:tableColumn id="6" name="关键词/标签"/>
    <x:tableColumn id="7" name="目标客户"/>
    <x:tableColumn id="8" name="负责人"/>
    <x:tableColumn id="9" name="截止日期"/>
    <x:tableColumn id="10" name="状态"/>
    <x:tableColumn id="11" name="素材链接/文件"/>
    <x:tableColumn id="12" name="复用场景"/>
    <x:tableColumn id="13" name="备注"/>
  </x:tableColumns>
  <x:tableStyleInfo name="TableStyleMedium2" showRowStripes="1"/>
</x:table>
</file>

<file path=xl/tables/table11.xml><?xml version="1.0" encoding="utf-8"?>
<x:table xmlns:x="http://schemas.openxmlformats.org/spreadsheetml/2006/main" id="9" name="TasksTable" displayName="TasksTable" ref="A3:L16" headerRowCount="1">
  <x:autoFilter ref="A3:L16"/>
  <x:tableColumns count="12">
    <x:tableColumn id="1" name="任务ID"/>
    <x:tableColumn id="2" name="阶段"/>
    <x:tableColumn id="3" name="周次"/>
    <x:tableColumn id="4" name="模块"/>
    <x:tableColumn id="5" name="任务"/>
    <x:tableColumn id="6" name="产出物"/>
    <x:tableColumn id="7" name="负责人"/>
    <x:tableColumn id="8" name="开始日期"/>
    <x:tableColumn id="9" name="截止日期"/>
    <x:tableColumn id="10" name="状态"/>
    <x:tableColumn id="11" name="优先级"/>
    <x:tableColumn id="12" name="备注"/>
  </x:tableColumns>
  <x:tableStyleInfo name="TableStyleMedium2" showRowStripes="1"/>
</x:table>
</file>

<file path=xl/tables/table12.xml><?xml version="1.0" encoding="utf-8"?>
<x:table xmlns:x="http://schemas.openxmlformats.org/spreadsheetml/2006/main" id="1" name="ListsTable" displayName="ListsTable" ref="A1:H8" headerRowCount="1">
  <x:autoFilter ref="A1:H8"/>
  <x:tableColumns count="8">
    <x:tableColumn id="1" name="状态"/>
    <x:tableColumn id="2" name="产品类型"/>
    <x:tableColumn id="3" name="客户类型"/>
    <x:tableColumn id="4" name="来源"/>
    <x:tableColumn id="5" name="跟进阶段"/>
    <x:tableColumn id="6" name="优先级"/>
    <x:tableColumn id="7" name="付款方式"/>
    <x:tableColumn id="8" name="渠道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4c78d6b2e0480d" /><Relationship Type="http://schemas.openxmlformats.org/officeDocument/2006/relationships/table" Target="/xl/tables/table2.xml" Id="Rb6a58c6fe90b41b5" /><Relationship Type="http://schemas.openxmlformats.org/officeDocument/2006/relationships/table" Target="/xl/tables/table3.xml" Id="R9e7c184d02ca46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467325ffed0145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2bbde8fcc50749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71f0516d3ce843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4bf3c6ac50e746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1e2f17953e534a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8aa9bc3bd7594e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0.xml" Id="Rda6fd664ad6c44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1.xml" Id="R2b6b64f1a09b489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2.xml" Id="R2e30a04830c540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.220000267028809" hidden="0" customWidth="1"/>
    <x:col min="3" max="3" width="13.329999923706055" hidden="0" customWidth="1"/>
    <x:col min="4" max="4" width="11.670000076293945" hidden="0" customWidth="1"/>
    <x:col min="5" max="5" width="20" hidden="0" customWidth="1"/>
    <x:col min="6" max="6" width="11.109999656677246" hidden="0" customWidth="1"/>
    <x:col min="7" max="7" width="12.779999732971191" hidden="0" customWidth="1"/>
    <x:col min="8" max="8" width="8.329999923706055" hidden="0" customWidth="1"/>
    <x:col min="9" max="9" width="8.329999923706055" hidden="0" customWidth="1"/>
    <x:col min="10" max="10" width="8.329999923706055" hidden="0" customWidth="1"/>
  </x:cols>
  <x:sheetData>
    <x:row r="1" ht="25.5" customHeight="1">
      <x:c r="A1" s="19" t="str">
        <x:v>无人机外贸启动总表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 ht="21" customHeight="1">
      <x:c r="A2" s="20" t="str">
        <x:v>3个月作战台：跑市场、开渠道、搭流程。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>
      <x:c r="A4" s="22" t="str">
        <x:v>核心指标</x:v>
      </x:c>
      <x:c r="B4" s="22"/>
      <x:c r="C4" s="22"/>
      <x:c r="D4" s="22"/>
      <x:c r="E4" s="22"/>
      <x:c r="F4" s="22"/>
      <x:c r="G4" s="22"/>
      <x:c r="H4" s="22"/>
      <x:c r="I4" s="22"/>
      <x:c r="J4" s="22"/>
    </x:row>
    <x:row r="5">
      <x:c r="A5" s="23" t="str">
        <x:v>产品SKU数</x:v>
      </x:c>
      <x:c r="B5" s="23" t="n">
        <x:f>COUNTA('产品线SKU'!$A$4:$A$203)</x:f>
        <x:v>4</x:v>
      </x:c>
      <x:c r="C5" s="23" t="str">
        <x:v>高优先级市场</x:v>
      </x:c>
      <x:c r="D5" s="23" t="n">
        <x:f>COUNTIF('目标市场'!$J$4:$J$203,"高")</x:f>
        <x:v>2</x:v>
      </x:c>
      <x:c r="E5" s="23" t="str">
        <x:v>潜在客户数</x:v>
      </x:c>
      <x:c r="F5" s="23" t="n">
        <x:f>COUNTA('潜在客户'!$A$4:$A$203)</x:f>
        <x:v>2</x:v>
      </x:c>
      <x:c r="G5" s="21"/>
      <x:c r="H5" s="21"/>
      <x:c r="I5" s="21"/>
      <x:c r="J5" s="21"/>
    </x:row>
    <x:row r="6">
      <x:c r="A6" s="23" t="str">
        <x:v>已报价数</x:v>
      </x:c>
      <x:c r="B6" s="23" t="n">
        <x:f>COUNTIF('潜在客户'!$I$4:$I$203,"已报价")+COUNTIF('潜在客户'!$I$4:$I$203,"谈判中")+COUNTIF('潜在客户'!$I$4:$I$203,"已成交")</x:f>
        <x:v>0</x:v>
      </x:c>
      <x:c r="C6" s="23" t="str">
        <x:v>任务完成率</x:v>
      </x:c>
      <x:c r="D6" s="24" t="n">
        <x:f>IFERROR(COUNTIF('90天任务'!$J$4:$J$203,"已完成")/COUNTA('90天任务'!$A$4:$A$203),0)</x:f>
        <x:v>0</x:v>
      </x:c>
      <x:c r="E6" s="24" t="str">
        <x:v>平均毛利率</x:v>
      </x:c>
      <x:c r="F6" s="24" t="n">
        <x:f>IFERROR(AVERAGE('报价&amp;利润'!$M$4:$M$203),0)</x:f>
        <x:v>0.16666666666666666</x:v>
      </x:c>
      <x:c r="G6" s="21"/>
      <x:c r="H6" s="21"/>
      <x:c r="I6" s="21"/>
      <x:c r="J6" s="21"/>
    </x:row>
    <x:row r="7">
      <x:c r="A7" s="21"/>
      <x:c r="B7" s="21"/>
      <x:c r="C7" s="21"/>
      <x:c r="D7" s="21"/>
      <x:c r="E7" s="21"/>
      <x:c r="F7" s="21"/>
      <x:c r="G7" s="21"/>
      <x:c r="H7" s="21"/>
      <x:c r="I7" s="21"/>
      <x:c r="J7" s="21"/>
    </x:row>
    <x:row r="8">
      <x:c r="A8" s="4" t="str">
        <x:v>三个月里程碑</x:v>
      </x:c>
      <x:c r="B8" s="4" t="str">
        <x:v>目标</x:v>
      </x:c>
      <x:c r="C8" s="4" t="str">
        <x:v>关键动作</x:v>
      </x:c>
      <x:c r="D8" s="4" t="str">
        <x:v>负责人</x:v>
      </x:c>
      <x:c r="E8" s="4" t="str">
        <x:v>状态</x:v>
      </x:c>
      <x:c r="F8" s="21"/>
      <x:c r="G8" s="4" t="str">
        <x:v>模块</x:v>
      </x:c>
      <x:c r="H8" s="4" t="str">
        <x:v>待做</x:v>
      </x:c>
      <x:c r="I8" s="4" t="str">
        <x:v>进行中</x:v>
      </x:c>
      <x:c r="J8" s="4" t="str">
        <x:v>已完成</x:v>
      </x:c>
    </x:row>
    <x:row r="9">
      <x:c r="A9" s="5" t="str">
        <x:v>第1个月</x:v>
      </x:c>
      <x:c r="B9" s="5" t="str">
        <x:v>跑通市场</x:v>
      </x:c>
      <x:c r="C9" s="5" t="str">
        <x:v>产品线、市场、竞品、首批客户、报价模板</x:v>
      </x:c>
      <x:c r="D9" s="5" t="str">
        <x:v>父亲大人/幺儿</x:v>
      </x:c>
      <x:c r="E9" s="5" t="str">
        <x:v>进行中</x:v>
      </x:c>
      <x:c r="F9" s="21"/>
      <x:c r="G9" s="5" t="str">
        <x:v>产品线</x:v>
      </x:c>
      <x:c r="H9" s="5" t="n">
        <x:f>COUNTIF('产品线SKU'!$L$4:$L$203,"未开始")</x:f>
        <x:v>3</x:v>
      </x:c>
      <x:c r="I9" s="5" t="n">
        <x:f>COUNTIF('产品线SKU'!$L$4:$L$203,"进行中")</x:f>
        <x:v>1</x:v>
      </x:c>
      <x:c r="J9" s="5" t="n">
        <x:f>COUNTIF('产品线SKU'!$L$4:$L$203,"已完成")</x:f>
        <x:v>0</x:v>
      </x:c>
    </x:row>
    <x:row r="10">
      <x:c r="A10" s="5" t="str">
        <x:v>第2个月</x:v>
      </x:c>
      <x:c r="B10" s="5" t="str">
        <x:v>开通渠道</x:v>
      </x:c>
      <x:c r="C10" s="5" t="str">
        <x:v>阿里国际站、Google独立站、社媒内容矩阵</x:v>
      </x:c>
      <x:c r="D10" s="5" t="str">
        <x:v>父亲大人/幺儿</x:v>
      </x:c>
      <x:c r="E10" s="5" t="str">
        <x:v>未开始</x:v>
      </x:c>
      <x:c r="F10" s="21"/>
      <x:c r="G10" s="5" t="str">
        <x:v>目标市场</x:v>
      </x:c>
      <x:c r="H10" s="5" t="n">
        <x:f>COUNTIF('目标市场'!$L$4:$L$203,"未开始")</x:f>
        <x:v>3</x:v>
      </x:c>
      <x:c r="I10" s="5" t="n">
        <x:f>COUNTIF('目标市场'!$L$4:$L$203,"进行中")</x:f>
        <x:v>2</x:v>
      </x:c>
      <x:c r="J10" s="5" t="n">
        <x:f>COUNTIF('目标市场'!$L$4:$L$203,"已完成")</x:f>
        <x:v>0</x:v>
      </x:c>
    </x:row>
    <x:row r="11">
      <x:c r="A11" s="5" t="str">
        <x:v>第3个月</x:v>
      </x:c>
      <x:c r="B11" s="5" t="str">
        <x:v>成熟流程</x:v>
      </x:c>
      <x:c r="C11" s="5" t="str">
        <x:v>询盘、报价、付款、发货、售后、复盘SOP</x:v>
      </x:c>
      <x:c r="D11" s="5" t="str">
        <x:v>父亲大人/幺儿</x:v>
      </x:c>
      <x:c r="E11" s="5" t="str">
        <x:v>未开始</x:v>
      </x:c>
      <x:c r="F11" s="21"/>
      <x:c r="G11" s="5" t="str">
        <x:v>潜在客户</x:v>
      </x:c>
      <x:c r="H11" s="5" t="n">
        <x:f>COUNTIF('潜在客户'!$I$4:$I$203,"新线索")+COUNTIF('潜在客户'!$I$4:$I$203,"已联系")</x:f>
        <x:v>2</x:v>
      </x:c>
      <x:c r="I11" s="5" t="n">
        <x:f>COUNTIF('潜在客户'!$I$4:$I$203,"已报价")+COUNTIF('潜在客户'!$I$4:$I$203,"样品/测试")+COUNTIF('潜在客户'!$I$4:$I$203,"谈判中")</x:f>
        <x:v>0</x:v>
      </x:c>
      <x:c r="J11" s="5" t="n">
        <x:f>COUNTIF('潜在客户'!$I$4:$I$203,"已成交")</x:f>
        <x:v>0</x:v>
      </x:c>
    </x:row>
    <x:row r="12">
      <x:c r="A12" s="21"/>
      <x:c r="B12" s="21"/>
      <x:c r="C12" s="21"/>
      <x:c r="D12" s="21"/>
      <x:c r="E12" s="21"/>
      <x:c r="F12" s="21"/>
      <x:c r="G12" s="5" t="str">
        <x:v>内容素材</x:v>
      </x:c>
      <x:c r="H12" s="5" t="n">
        <x:f>COUNTIF('内容素材'!$J$4:$J$203,"未开始")</x:f>
        <x:v>3</x:v>
      </x:c>
      <x:c r="I12" s="5" t="n">
        <x:f>COUNTIF('内容素材'!$J$4:$J$203,"进行中")</x:f>
        <x:v>0</x:v>
      </x:c>
      <x:c r="J12" s="5" t="n">
        <x:f>COUNTIF('内容素材'!$J$4:$J$203,"已完成")</x:f>
        <x:v>0</x:v>
      </x:c>
    </x:row>
    <x:row r="13">
      <x:c r="A13" s="21"/>
      <x:c r="B13" s="21"/>
      <x:c r="C13" s="21"/>
      <x:c r="D13" s="21"/>
      <x:c r="E13" s="21"/>
      <x:c r="F13" s="21"/>
      <x:c r="G13" s="5" t="str">
        <x:v>90天任务</x:v>
      </x:c>
      <x:c r="H13" s="5" t="n">
        <x:f>COUNTIF('90天任务'!$J$4:$J$203,"未开始")</x:f>
        <x:v>12</x:v>
      </x:c>
      <x:c r="I13" s="5" t="n">
        <x:f>COUNTIF('90天任务'!$J$4:$J$203,"进行中")</x:f>
        <x:v>1</x:v>
      </x:c>
      <x:c r="J13" s="5" t="n">
        <x:f>COUNTIF('90天任务'!$J$4:$J$203,"已完成")</x:f>
        <x:v>0</x:v>
      </x:c>
    </x:row>
    <x:row r="14">
      <x:c r="A14" s="4" t="str">
        <x:v>本周必须推进</x:v>
      </x:c>
      <x:c r="B14" s="4" t="str">
        <x:v>来源表</x:v>
      </x:c>
      <x:c r="C14" s="4" t="str">
        <x:v>截止日期</x:v>
      </x:c>
      <x:c r="D14" s="4" t="str">
        <x:v>状态</x:v>
      </x:c>
      <x:c r="E14" s="4" t="str">
        <x:v>备注</x:v>
      </x:c>
      <x:c r="F14" s="21"/>
      <x:c r="G14" s="5" t="str">
        <x:v>报价</x:v>
      </x:c>
      <x:c r="H14" s="5" t="n">
        <x:f>COUNTIF('报价&amp;利润'!$N$4:$N$203,"草稿")</x:f>
        <x:v>2</x:v>
      </x:c>
      <x:c r="I14" s="5" t="n">
        <x:f>COUNTIF('报价&amp;利润'!$N$4:$N$203,"已发送")+COUNTIF('报价&amp;利润'!$N$4:$N$203,"谈判中")</x:f>
        <x:v>0</x:v>
      </x:c>
      <x:c r="J14" s="5" t="n">
        <x:f>COUNTIF('报价&amp;利润'!$N$4:$N$203,"成交")</x:f>
        <x:v>0</x:v>
      </x:c>
    </x:row>
    <x:row r="15">
      <x:c r="A15" s="5" t="str">
        <x:v>整理主推SKU和参数</x:v>
      </x:c>
      <x:c r="B15" s="5" t="str">
        <x:v>90天任务 T-001</x:v>
      </x:c>
      <x:c r="C15" s="11" t="n">
        <x:v>46187</x:v>
      </x:c>
      <x:c r="D15" s="5" t="str">
        <x:v>进行中</x:v>
      </x:c>
      <x:c r="E15" s="5" t="str">
        <x:v>农用机、FPV、配件参数补齐</x:v>
      </x:c>
      <x:c r="F15" s="21"/>
      <x:c r="G15" s="5" t="str">
        <x:v>供应商</x:v>
      </x:c>
      <x:c r="H15" s="5" t="n">
        <x:f>COUNTIF('供应商&amp;物流'!$N$4:$N$203,"未开始")</x:f>
        <x:v>1</x:v>
      </x:c>
      <x:c r="I15" s="5" t="n">
        <x:f>COUNTIF('供应商&amp;物流'!$N$4:$N$203,"进行中")</x:f>
        <x:v>1</x:v>
      </x:c>
      <x:c r="J15" s="5" t="n">
        <x:f>COUNTIF('供应商&amp;物流'!$N$4:$N$203,"已完成")</x:f>
        <x:v>0</x:v>
      </x:c>
    </x:row>
    <x:row r="16">
      <x:c r="A16" s="5" t="str">
        <x:v>收集阿里/Google竞品各10个</x:v>
      </x:c>
      <x:c r="B16" s="5" t="str">
        <x:v>90天任务 T-002</x:v>
      </x:c>
      <x:c r="C16" s="11" t="n">
        <x:v>46189</x:v>
      </x:c>
      <x:c r="D16" s="5" t="str">
        <x:v>未开始</x:v>
      </x:c>
      <x:c r="E16" s="5" t="str">
        <x:v>记录价格、MOQ、卖点、弱点</x:v>
      </x:c>
      <x:c r="F16" s="21"/>
      <x:c r="G16" s="21"/>
      <x:c r="H16" s="21"/>
      <x:c r="I16" s="21"/>
      <x:c r="J16" s="21"/>
    </x:row>
    <x:row r="17">
      <x:c r="A17" s="5" t="str">
        <x:v>建立首批50个潜在客户名单</x:v>
      </x:c>
      <x:c r="B17" s="5" t="str">
        <x:v>90天任务 T-003</x:v>
      </x:c>
      <x:c r="C17" s="11" t="n">
        <x:v>46196</x:v>
      </x:c>
      <x:c r="D17" s="5" t="str">
        <x:v>未开始</x:v>
      </x:c>
      <x:c r="E17" s="5" t="str">
        <x:v>国家优先：巴西、美国、墨西哥</x:v>
      </x:c>
      <x:c r="F17" s="21"/>
      <x:c r="G17" s="21"/>
      <x:c r="H17" s="21"/>
      <x:c r="I17" s="21"/>
      <x:c r="J17" s="21"/>
    </x:row>
    <x:row r="18">
      <x:c r="A18" s="5" t="str">
        <x:v>确认2-3个核心供应商</x:v>
      </x:c>
      <x:c r="B18" s="5" t="str">
        <x:v>供应商&amp;物流</x:v>
      </x:c>
      <x:c r="C18" s="11" t="n">
        <x:v>46193</x:v>
      </x:c>
      <x:c r="D18" s="5" t="str">
        <x:v>未开始</x:v>
      </x:c>
      <x:c r="E18" s="5" t="str">
        <x:v>交期、质保、配件价、物流方式</x:v>
      </x:c>
      <x:c r="F18" s="21"/>
      <x:c r="G18" s="23" t="str">
        <x:v>使用顺序</x:v>
      </x:c>
      <x:c r="H18" s="23" t="str"/>
      <x:c r="I18" s="23" t="str"/>
      <x:c r="J18" s="23" t="str"/>
    </x:row>
    <x:row r="19">
      <x:c r="A19" s="5" t="str">
        <x:v>准备第一版英文公司介绍</x:v>
      </x:c>
      <x:c r="B19" s="5" t="str">
        <x:v>内容素材</x:v>
      </x:c>
      <x:c r="C19" s="11" t="n">
        <x:v>46195</x:v>
      </x:c>
      <x:c r="D19" s="5" t="str">
        <x:v>未开始</x:v>
      </x:c>
      <x:c r="E19" s="5" t="str">
        <x:v>用于客户开发和平台资料</x:v>
      </x:c>
      <x:c r="F19" s="21"/>
      <x:c r="G19" s="23" t="str">
        <x:v>1. 先补产品线SKU，明确主推产品和基础报价。</x:v>
      </x:c>
      <x:c r="H19" s="23" t="str"/>
      <x:c r="I19" s="23" t="str"/>
      <x:c r="J19" s="23" t="str"/>
    </x:row>
    <x:row r="20">
      <x:c r="A20" s="5" t="str">
        <x:v>建立报价模板</x:v>
      </x:c>
      <x:c r="B20" s="5" t="str">
        <x:v>报价&amp;利润</x:v>
      </x:c>
      <x:c r="C20" s="11" t="n">
        <x:v>46203</x:v>
      </x:c>
      <x:c r="D20" s="5" t="str">
        <x:v>未开始</x:v>
      </x:c>
      <x:c r="E20" s="5" t="str">
        <x:v>含EXW/FOB、样品价、批量价</x:v>
      </x:c>
      <x:c r="F20" s="21"/>
      <x:c r="G20" s="23" t="str">
        <x:v>2. 再补目标市场和竞品分析，判断优先国家。</x:v>
      </x:c>
      <x:c r="H20" s="23" t="str"/>
      <x:c r="I20" s="23" t="str"/>
      <x:c r="J20" s="23" t="str"/>
    </x:row>
    <x:row r="21">
      <x:c r="A21" s="21"/>
      <x:c r="B21" s="21"/>
      <x:c r="C21" s="21"/>
      <x:c r="D21" s="21"/>
      <x:c r="E21" s="21"/>
      <x:c r="F21" s="21"/>
      <x:c r="G21" s="23" t="str">
        <x:v>3. 每天新增潜在客户并更新跟进阶段。</x:v>
      </x:c>
      <x:c r="H21" s="23" t="str"/>
      <x:c r="I21" s="23" t="str"/>
      <x:c r="J21" s="23" t="str"/>
    </x:row>
    <x:row r="22">
      <x:c r="A22" s="21"/>
      <x:c r="B22" s="21"/>
      <x:c r="C22" s="21"/>
      <x:c r="D22" s="21"/>
      <x:c r="E22" s="21"/>
      <x:c r="F22" s="21"/>
      <x:c r="G22" s="23" t="str">
        <x:v>4. 有询盘就进报价&amp;利润，低毛利及时调整。</x:v>
      </x:c>
      <x:c r="H22" s="23" t="str"/>
      <x:c r="I22" s="23" t="str"/>
      <x:c r="J22" s="23" t="str"/>
    </x:row>
    <x:row r="23">
      <x:c r="A23" s="21"/>
      <x:c r="B23" s="21"/>
      <x:c r="C23" s="21"/>
      <x:c r="D23" s="21"/>
      <x:c r="E23" s="21"/>
      <x:c r="F23" s="21"/>
      <x:c r="G23" s="23" t="str">
        <x:v>5. 每周看总览页，决定下周重点。</x:v>
      </x:c>
      <x:c r="H23" s="23" t="str"/>
      <x:c r="I23" s="23" t="str"/>
      <x:c r="J23" s="23" t="str"/>
    </x:row>
  </x:sheetData>
  <x:mergeCells>
    <x:mergeCell ref="A4:J4"/>
    <x:mergeCell ref="G18:J18"/>
    <x:mergeCell ref="G19:J19"/>
    <x:mergeCell ref="G20:J20"/>
    <x:mergeCell ref="G21:J21"/>
    <x:mergeCell ref="G22:J22"/>
    <x:mergeCell ref="G23:J23"/>
  </x:mergeCells>
  <x:conditionalFormatting sqref="A9:E11">
    <x:cfRule type="expression" dxfId="18" priority="1">
      <x:formula>$E9="已完成"</x:formula>
    </x:cfRule>
    <x:cfRule type="expression" dxfId="19" priority="2">
      <x:formula>$E9="进行中"</x:formula>
    </x:cfRule>
    <x:cfRule type="expression" dxfId="20" priority="3">
      <x:formula>$E9="风险"</x:formula>
    </x:cfRule>
  </x:conditionalFormatting>
  <x:conditionalFormatting sqref="A15:E20">
    <x:cfRule type="expression" dxfId="21" priority="4">
      <x:formula>$D15="已完成"</x:formula>
    </x:cfRule>
    <x:cfRule type="expression" dxfId="22" priority="5">
      <x:formula>$D15="进行中"</x:formula>
    </x:cfRule>
    <x:cfRule type="expression" dxfId="23" priority="6">
      <x:formula>$D15="风险"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de4c78d6b2e0480d"/>
    <x:tablePart xmlns:r="http://schemas.openxmlformats.org/officeDocument/2006/relationships" r:id="Rb6a58c6fe90b41b5"/>
    <x:tablePart xmlns:r="http://schemas.openxmlformats.org/officeDocument/2006/relationships" r:id="R9e7c184d02ca46e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12.220000267028809" hidden="0" customWidth="1"/>
    <x:col min="3" max="3" width="18.889999389648438" hidden="0" customWidth="1"/>
    <x:col min="4" max="4" width="24.440000534057617" hidden="0" customWidth="1"/>
    <x:col min="5" max="5" width="20" hidden="0" customWidth="1"/>
    <x:col min="6" max="6" width="18.889999389648438" hidden="0" customWidth="1"/>
    <x:col min="7" max="7" width="17.780000686645508" hidden="0" customWidth="1"/>
    <x:col min="8" max="8" width="10.5600004196167" hidden="0" customWidth="1"/>
    <x:col min="9" max="9" width="10.5600004196167" hidden="0" customWidth="1"/>
    <x:col min="10" max="10" width="10" hidden="0" customWidth="1"/>
    <x:col min="11" max="11" width="17.780000686645508" hidden="0" customWidth="1"/>
    <x:col min="12" max="12" width="10" hidden="0" customWidth="1"/>
    <x:col min="13" max="13" width="8.890000343322754" hidden="0" customWidth="1"/>
    <x:col min="14" max="14" width="24.440000534057617" hidden="0" customWidth="1"/>
  </x:cols>
  <x:sheetData>
    <x:row r="1" ht="25.5" customHeight="1">
      <x:c r="A1" s="7" t="str">
        <x:v>产品线SKU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</x:row>
    <x:row r="2" ht="21" customHeight="1">
      <x:c r="A2" s="8" t="str">
        <x:v>定义主推产品、参数、认证、目标价和资料准备状态。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>
      <x:c r="A3" s="4" t="str">
        <x:v>产品ID</x:v>
      </x:c>
      <x:c r="B3" s="4" t="str">
        <x:v>产品类型</x:v>
      </x:c>
      <x:c r="C3" s="4" t="str">
        <x:v>产品名称</x:v>
      </x:c>
      <x:c r="D3" s="4" t="str">
        <x:v>核心卖点</x:v>
      </x:c>
      <x:c r="E3" s="4" t="str">
        <x:v>关键参数</x:v>
      </x:c>
      <x:c r="F3" s="4" t="str">
        <x:v>目标客户</x:v>
      </x:c>
      <x:c r="G3" s="4" t="str">
        <x:v>目标市场</x:v>
      </x:c>
      <x:c r="H3" s="4" t="str">
        <x:v>样品价USD</x:v>
      </x:c>
      <x:c r="I3" s="4" t="str">
        <x:v>批量价USD</x:v>
      </x:c>
      <x:c r="J3" s="4" t="str">
        <x:v>MOQ</x:v>
      </x:c>
      <x:c r="K3" s="4" t="str">
        <x:v>认证/合规</x:v>
      </x:c>
      <x:c r="L3" s="4" t="str">
        <x:v>资料状态</x:v>
      </x:c>
      <x:c r="M3" s="4" t="str">
        <x:v>负责人</x:v>
      </x:c>
      <x:c r="N3" s="4" t="str">
        <x:v>备注</x:v>
      </x:c>
    </x:row>
    <x:row r="4">
      <x:c r="A4" s="5" t="str">
        <x:v>P-001</x:v>
      </x:c>
      <x:c r="B4" s="5" t="str">
        <x:v>无人机配件</x:v>
      </x:c>
      <x:c r="C4" s="5" t="str">
        <x:v>碳纤维螺旋桨</x:v>
      </x:c>
      <x:c r="D4" s="5" t="str">
        <x:v>轻量、耐冲击、适配多轴机型</x:v>
      </x:c>
      <x:c r="E4" s="5" t="str">
        <x:v>18-30 inch / carbon fiber</x:v>
      </x:c>
      <x:c r="F4" s="5" t="str">
        <x:v>维修商、改装商、经销商</x:v>
      </x:c>
      <x:c r="G4" s="5" t="str">
        <x:v>美国、巴西、德国</x:v>
      </x:c>
      <x:c r="H4" s="9" t="n">
        <x:v>12</x:v>
      </x:c>
      <x:c r="I4" s="9" t="n">
        <x:v>8.5</x:v>
      </x:c>
      <x:c r="J4" s="5" t="str">
        <x:v>50 pairs</x:v>
      </x:c>
      <x:c r="K4" s="5" t="str">
        <x:v>材质说明、HS Code</x:v>
      </x:c>
      <x:c r="L4" s="5" t="str">
        <x:v>进行中</x:v>
      </x:c>
      <x:c r="M4" s="5" t="str">
        <x:v>待定</x:v>
      </x:c>
      <x:c r="N4" s="5" t="str">
        <x:v>优先整理高清图和适配清单</x:v>
      </x:c>
    </x:row>
    <x:row r="5">
      <x:c r="A5" s="5" t="str">
        <x:v>P-002</x:v>
      </x:c>
      <x:c r="B5" s="5" t="str">
        <x:v>农用无人机</x:v>
      </x:c>
      <x:c r="C5" s="5" t="str">
        <x:v>30L 农用喷洒无人机</x:v>
      </x:c>
      <x:c r="D5" s="5" t="str">
        <x:v>大载荷、折叠机臂、RTK 可选</x:v>
      </x:c>
      <x:c r="E5" s="5" t="str">
        <x:v>30L tank / 8-12 ha/hour</x:v>
      </x:c>
      <x:c r="F5" s="5" t="str">
        <x:v>农场、经销商、合作社</x:v>
      </x:c>
      <x:c r="G5" s="5" t="str">
        <x:v>巴西、墨西哥、东南亚</x:v>
      </x:c>
      <x:c r="H5" s="9" t="n">
        <x:v>4200</x:v>
      </x:c>
      <x:c r="I5" s="9" t="n">
        <x:v>3800</x:v>
      </x:c>
      <x:c r="J5" s="5" t="str">
        <x:v>1 set</x:v>
      </x:c>
      <x:c r="K5" s="5" t="str">
        <x:v>电池运输、CE/FCC视市场</x:v>
      </x:c>
      <x:c r="L5" s="5" t="str">
        <x:v>未开始</x:v>
      </x:c>
      <x:c r="M5" s="5" t="str">
        <x:v>待定</x:v>
      </x:c>
      <x:c r="N5" s="5" t="str">
        <x:v>第1个月重点验证需求</x:v>
      </x:c>
    </x:row>
    <x:row r="6">
      <x:c r="A6" s="5" t="str">
        <x:v>P-003</x:v>
      </x:c>
      <x:c r="B6" s="5" t="str">
        <x:v>FPV</x:v>
      </x:c>
      <x:c r="C6" s="5" t="str">
        <x:v>5寸 FPV 穿越机套装</x:v>
      </x:c>
      <x:c r="D6" s="5" t="str">
        <x:v>即飞套装、竞速/航拍入门</x:v>
      </x:c>
      <x:c r="E6" s="5" t="str">
        <x:v>5 inch / 6S / ELRS optional</x:v>
      </x:c>
      <x:c r="F6" s="5" t="str">
        <x:v>FPV店铺、俱乐部、个人玩家</x:v>
      </x:c>
      <x:c r="G6" s="5" t="str">
        <x:v>美国、法国、澳大利亚</x:v>
      </x:c>
      <x:c r="H6" s="9" t="n">
        <x:v>260</x:v>
      </x:c>
      <x:c r="I6" s="9" t="n">
        <x:v>225</x:v>
      </x:c>
      <x:c r="J6" s="5" t="str">
        <x:v>5 sets</x:v>
      </x:c>
      <x:c r="K6" s="5" t="str">
        <x:v>无线电频段合规</x:v>
      </x:c>
      <x:c r="L6" s="5" t="str">
        <x:v>未开始</x:v>
      </x:c>
      <x:c r="M6" s="5" t="str">
        <x:v>待定</x:v>
      </x:c>
      <x:c r="N6" s="5" t="str">
        <x:v>需确认当地频段限制</x:v>
      </x:c>
    </x:row>
    <x:row r="7">
      <x:c r="A7" s="5" t="str">
        <x:v>P-004</x:v>
      </x:c>
      <x:c r="B7" s="5" t="str">
        <x:v>工业无人机</x:v>
      </x:c>
      <x:c r="C7" s="5" t="str">
        <x:v>巡检无人机平台</x:v>
      </x:c>
      <x:c r="D7" s="5" t="str">
        <x:v>长航时、可挂载云台相机</x:v>
      </x:c>
      <x:c r="E7" s="5" t="str">
        <x:v>45-60 min / payload 1-2 kg</x:v>
      </x:c>
      <x:c r="F7" s="5" t="str">
        <x:v>电力、安防、测绘集成商</x:v>
      </x:c>
      <x:c r="G7" s="5" t="str">
        <x:v>中东、欧洲、拉美</x:v>
      </x:c>
      <x:c r="H7" s="9" t="n">
        <x:v>6800</x:v>
      </x:c>
      <x:c r="I7" s="9" t="n">
        <x:v>6200</x:v>
      </x:c>
      <x:c r="J7" s="5" t="str">
        <x:v>1 set</x:v>
      </x:c>
      <x:c r="K7" s="5" t="str">
        <x:v>CE、加密链路说明</x:v>
      </x:c>
      <x:c r="L7" s="5" t="str">
        <x:v>未开始</x:v>
      </x:c>
      <x:c r="M7" s="5" t="str">
        <x:v>待定</x:v>
      </x:c>
      <x:c r="N7" s="5" t="str">
        <x:v>高客单价，需案例资料</x:v>
      </x:c>
    </x:row>
    <x:row r="8">
      <x:c r="H8" s="10"/>
      <x:c r="I8" s="10"/>
    </x:row>
    <x:row r="9">
      <x:c r="H9" s="10"/>
      <x:c r="I9" s="10"/>
    </x:row>
    <x:row r="10">
      <x:c r="H10" s="10"/>
      <x:c r="I10" s="10"/>
    </x:row>
    <x:row r="11">
      <x:c r="H11" s="10"/>
      <x:c r="I11" s="10"/>
    </x:row>
    <x:row r="12">
      <x:c r="H12" s="10"/>
      <x:c r="I12" s="10"/>
    </x:row>
    <x:row r="13">
      <x:c r="H13" s="10"/>
      <x:c r="I13" s="10"/>
    </x:row>
    <x:row r="14">
      <x:c r="H14" s="10"/>
      <x:c r="I14" s="10"/>
    </x:row>
    <x:row r="15">
      <x:c r="H15" s="10"/>
      <x:c r="I15" s="10"/>
    </x:row>
    <x:row r="16">
      <x:c r="H16" s="10"/>
      <x:c r="I16" s="10"/>
    </x:row>
    <x:row r="17">
      <x:c r="H17" s="10"/>
      <x:c r="I17" s="10"/>
    </x:row>
    <x:row r="18">
      <x:c r="H18" s="10"/>
      <x:c r="I18" s="10"/>
    </x:row>
    <x:row r="19">
      <x:c r="H19" s="10"/>
      <x:c r="I19" s="10"/>
    </x:row>
    <x:row r="20">
      <x:c r="H20" s="10"/>
      <x:c r="I20" s="10"/>
    </x:row>
    <x:row r="21">
      <x:c r="H21" s="10"/>
      <x:c r="I21" s="10"/>
    </x:row>
    <x:row r="22">
      <x:c r="H22" s="10"/>
      <x:c r="I22" s="10"/>
    </x:row>
    <x:row r="23">
      <x:c r="H23" s="10"/>
      <x:c r="I23" s="10"/>
    </x:row>
    <x:row r="24">
      <x:c r="H24" s="10"/>
      <x:c r="I24" s="10"/>
    </x:row>
    <x:row r="25">
      <x:c r="H25" s="10"/>
      <x:c r="I25" s="10"/>
    </x:row>
    <x:row r="26">
      <x:c r="H26" s="10"/>
      <x:c r="I26" s="10"/>
    </x:row>
    <x:row r="27">
      <x:c r="H27" s="10"/>
      <x:c r="I27" s="10"/>
    </x:row>
    <x:row r="28">
      <x:c r="H28" s="10"/>
      <x:c r="I28" s="10"/>
    </x:row>
    <x:row r="29">
      <x:c r="H29" s="10"/>
      <x:c r="I29" s="10"/>
    </x:row>
    <x:row r="30">
      <x:c r="H30" s="10"/>
      <x:c r="I30" s="10"/>
    </x:row>
    <x:row r="31">
      <x:c r="H31" s="10"/>
      <x:c r="I31" s="10"/>
    </x:row>
    <x:row r="32">
      <x:c r="H32" s="10"/>
      <x:c r="I32" s="10"/>
    </x:row>
    <x:row r="33">
      <x:c r="H33" s="10"/>
      <x:c r="I33" s="10"/>
    </x:row>
    <x:row r="34">
      <x:c r="H34" s="10"/>
      <x:c r="I34" s="10"/>
    </x:row>
    <x:row r="35">
      <x:c r="H35" s="10"/>
      <x:c r="I35" s="10"/>
    </x:row>
    <x:row r="36">
      <x:c r="H36" s="10"/>
      <x:c r="I36" s="10"/>
    </x:row>
    <x:row r="37">
      <x:c r="H37" s="10"/>
      <x:c r="I37" s="10"/>
    </x:row>
    <x:row r="38">
      <x:c r="H38" s="10"/>
      <x:c r="I38" s="10"/>
    </x:row>
    <x:row r="39">
      <x:c r="H39" s="10"/>
      <x:c r="I39" s="10"/>
    </x:row>
    <x:row r="40">
      <x:c r="H40" s="10"/>
      <x:c r="I40" s="10"/>
    </x:row>
    <x:row r="41">
      <x:c r="H41" s="10"/>
      <x:c r="I41" s="10"/>
    </x:row>
    <x:row r="42">
      <x:c r="H42" s="10"/>
      <x:c r="I42" s="10"/>
    </x:row>
    <x:row r="43">
      <x:c r="H43" s="10"/>
      <x:c r="I43" s="10"/>
    </x:row>
    <x:row r="44">
      <x:c r="H44" s="10"/>
      <x:c r="I44" s="10"/>
    </x:row>
    <x:row r="45">
      <x:c r="H45" s="10"/>
      <x:c r="I45" s="10"/>
    </x:row>
    <x:row r="46">
      <x:c r="H46" s="10"/>
      <x:c r="I46" s="10"/>
    </x:row>
    <x:row r="47">
      <x:c r="H47" s="10"/>
      <x:c r="I47" s="10"/>
    </x:row>
    <x:row r="48">
      <x:c r="H48" s="10"/>
      <x:c r="I48" s="10"/>
    </x:row>
    <x:row r="49">
      <x:c r="H49" s="10"/>
      <x:c r="I49" s="10"/>
    </x:row>
    <x:row r="50">
      <x:c r="H50" s="10"/>
      <x:c r="I50" s="10"/>
    </x:row>
    <x:row r="51">
      <x:c r="H51" s="10"/>
      <x:c r="I51" s="10"/>
    </x:row>
    <x:row r="52">
      <x:c r="H52" s="10"/>
      <x:c r="I52" s="10"/>
    </x:row>
    <x:row r="53">
      <x:c r="H53" s="10"/>
      <x:c r="I53" s="10"/>
    </x:row>
    <x:row r="54">
      <x:c r="H54" s="10"/>
      <x:c r="I54" s="10"/>
    </x:row>
    <x:row r="55">
      <x:c r="H55" s="10"/>
      <x:c r="I55" s="10"/>
    </x:row>
    <x:row r="56">
      <x:c r="H56" s="10"/>
      <x:c r="I56" s="10"/>
    </x:row>
    <x:row r="57">
      <x:c r="H57" s="10"/>
      <x:c r="I57" s="10"/>
    </x:row>
    <x:row r="58">
      <x:c r="H58" s="10"/>
      <x:c r="I58" s="10"/>
    </x:row>
    <x:row r="59">
      <x:c r="H59" s="10"/>
      <x:c r="I59" s="10"/>
    </x:row>
    <x:row r="60">
      <x:c r="H60" s="10"/>
      <x:c r="I60" s="10"/>
    </x:row>
    <x:row r="61">
      <x:c r="H61" s="10"/>
      <x:c r="I61" s="10"/>
    </x:row>
    <x:row r="62">
      <x:c r="H62" s="10"/>
      <x:c r="I62" s="10"/>
    </x:row>
    <x:row r="63">
      <x:c r="H63" s="10"/>
      <x:c r="I63" s="10"/>
    </x:row>
    <x:row r="64">
      <x:c r="H64" s="10"/>
      <x:c r="I64" s="10"/>
    </x:row>
    <x:row r="65">
      <x:c r="H65" s="10"/>
      <x:c r="I65" s="10"/>
    </x:row>
    <x:row r="66">
      <x:c r="H66" s="10"/>
      <x:c r="I66" s="10"/>
    </x:row>
    <x:row r="67">
      <x:c r="H67" s="10"/>
      <x:c r="I67" s="10"/>
    </x:row>
    <x:row r="68">
      <x:c r="H68" s="10"/>
      <x:c r="I68" s="10"/>
    </x:row>
    <x:row r="69">
      <x:c r="H69" s="10"/>
      <x:c r="I69" s="10"/>
    </x:row>
    <x:row r="70">
      <x:c r="H70" s="10"/>
      <x:c r="I70" s="10"/>
    </x:row>
    <x:row r="71">
      <x:c r="H71" s="10"/>
      <x:c r="I71" s="10"/>
    </x:row>
    <x:row r="72">
      <x:c r="H72" s="10"/>
      <x:c r="I72" s="10"/>
    </x:row>
    <x:row r="73">
      <x:c r="H73" s="10"/>
      <x:c r="I73" s="10"/>
    </x:row>
    <x:row r="74">
      <x:c r="H74" s="10"/>
      <x:c r="I74" s="10"/>
    </x:row>
    <x:row r="75">
      <x:c r="H75" s="10"/>
      <x:c r="I75" s="10"/>
    </x:row>
    <x:row r="76">
      <x:c r="H76" s="10"/>
      <x:c r="I76" s="10"/>
    </x:row>
    <x:row r="77">
      <x:c r="H77" s="10"/>
      <x:c r="I77" s="10"/>
    </x:row>
    <x:row r="78">
      <x:c r="H78" s="10"/>
      <x:c r="I78" s="10"/>
    </x:row>
    <x:row r="79">
      <x:c r="H79" s="10"/>
      <x:c r="I79" s="10"/>
    </x:row>
    <x:row r="80">
      <x:c r="H80" s="10"/>
      <x:c r="I80" s="10"/>
    </x:row>
    <x:row r="81">
      <x:c r="H81" s="10"/>
      <x:c r="I81" s="10"/>
    </x:row>
    <x:row r="82">
      <x:c r="H82" s="10"/>
      <x:c r="I82" s="10"/>
    </x:row>
    <x:row r="83">
      <x:c r="H83" s="10"/>
      <x:c r="I83" s="10"/>
    </x:row>
    <x:row r="84">
      <x:c r="H84" s="10"/>
      <x:c r="I84" s="10"/>
    </x:row>
    <x:row r="85">
      <x:c r="H85" s="10"/>
      <x:c r="I85" s="10"/>
    </x:row>
    <x:row r="86">
      <x:c r="H86" s="10"/>
      <x:c r="I86" s="10"/>
    </x:row>
    <x:row r="87">
      <x:c r="H87" s="10"/>
      <x:c r="I87" s="10"/>
    </x:row>
    <x:row r="88">
      <x:c r="H88" s="10"/>
      <x:c r="I88" s="10"/>
    </x:row>
    <x:row r="89">
      <x:c r="H89" s="10"/>
      <x:c r="I89" s="10"/>
    </x:row>
    <x:row r="90">
      <x:c r="H90" s="10"/>
      <x:c r="I90" s="10"/>
    </x:row>
    <x:row r="91">
      <x:c r="H91" s="10"/>
      <x:c r="I91" s="10"/>
    </x:row>
    <x:row r="92">
      <x:c r="H92" s="10"/>
      <x:c r="I92" s="10"/>
    </x:row>
    <x:row r="93">
      <x:c r="H93" s="10"/>
      <x:c r="I93" s="10"/>
    </x:row>
    <x:row r="94">
      <x:c r="H94" s="10"/>
      <x:c r="I94" s="10"/>
    </x:row>
    <x:row r="95">
      <x:c r="H95" s="10"/>
      <x:c r="I95" s="10"/>
    </x:row>
    <x:row r="96">
      <x:c r="H96" s="10"/>
      <x:c r="I96" s="10"/>
    </x:row>
    <x:row r="97">
      <x:c r="H97" s="10"/>
      <x:c r="I97" s="10"/>
    </x:row>
    <x:row r="98">
      <x:c r="H98" s="10"/>
      <x:c r="I98" s="10"/>
    </x:row>
    <x:row r="99">
      <x:c r="H99" s="10"/>
      <x:c r="I99" s="10"/>
    </x:row>
    <x:row r="100">
      <x:c r="H100" s="10"/>
      <x:c r="I100" s="10"/>
    </x:row>
    <x:row r="101">
      <x:c r="H101" s="10"/>
      <x:c r="I101" s="10"/>
    </x:row>
    <x:row r="102">
      <x:c r="H102" s="10"/>
      <x:c r="I102" s="10"/>
    </x:row>
    <x:row r="103">
      <x:c r="H103" s="10"/>
      <x:c r="I103" s="10"/>
    </x:row>
    <x:row r="104">
      <x:c r="H104" s="10"/>
      <x:c r="I104" s="10"/>
    </x:row>
    <x:row r="105">
      <x:c r="H105" s="10"/>
      <x:c r="I105" s="10"/>
    </x:row>
    <x:row r="106">
      <x:c r="H106" s="10"/>
      <x:c r="I106" s="10"/>
    </x:row>
    <x:row r="107">
      <x:c r="H107" s="10"/>
      <x:c r="I107" s="10"/>
    </x:row>
    <x:row r="108">
      <x:c r="H108" s="10"/>
      <x:c r="I108" s="10"/>
    </x:row>
    <x:row r="109">
      <x:c r="H109" s="10"/>
      <x:c r="I109" s="10"/>
    </x:row>
    <x:row r="110">
      <x:c r="H110" s="10"/>
      <x:c r="I110" s="10"/>
    </x:row>
    <x:row r="111">
      <x:c r="H111" s="10"/>
      <x:c r="I111" s="10"/>
    </x:row>
    <x:row r="112">
      <x:c r="H112" s="10"/>
      <x:c r="I112" s="10"/>
    </x:row>
    <x:row r="113">
      <x:c r="H113" s="10"/>
      <x:c r="I113" s="10"/>
    </x:row>
    <x:row r="114">
      <x:c r="H114" s="10"/>
      <x:c r="I114" s="10"/>
    </x:row>
    <x:row r="115">
      <x:c r="H115" s="10"/>
      <x:c r="I115" s="10"/>
    </x:row>
    <x:row r="116">
      <x:c r="H116" s="10"/>
      <x:c r="I116" s="10"/>
    </x:row>
    <x:row r="117">
      <x:c r="H117" s="10"/>
      <x:c r="I117" s="10"/>
    </x:row>
    <x:row r="118">
      <x:c r="H118" s="10"/>
      <x:c r="I118" s="10"/>
    </x:row>
    <x:row r="119">
      <x:c r="H119" s="10"/>
      <x:c r="I119" s="10"/>
    </x:row>
    <x:row r="120">
      <x:c r="H120" s="10"/>
      <x:c r="I120" s="10"/>
    </x:row>
    <x:row r="121">
      <x:c r="H121" s="10"/>
      <x:c r="I121" s="10"/>
    </x:row>
    <x:row r="122">
      <x:c r="H122" s="10"/>
      <x:c r="I122" s="10"/>
    </x:row>
    <x:row r="123">
      <x:c r="H123" s="10"/>
      <x:c r="I123" s="10"/>
    </x:row>
    <x:row r="124">
      <x:c r="H124" s="10"/>
      <x:c r="I124" s="10"/>
    </x:row>
    <x:row r="125">
      <x:c r="H125" s="10"/>
      <x:c r="I125" s="10"/>
    </x:row>
    <x:row r="126">
      <x:c r="H126" s="10"/>
      <x:c r="I126" s="10"/>
    </x:row>
    <x:row r="127">
      <x:c r="H127" s="10"/>
      <x:c r="I127" s="10"/>
    </x:row>
    <x:row r="128">
      <x:c r="H128" s="10"/>
      <x:c r="I128" s="10"/>
    </x:row>
    <x:row r="129">
      <x:c r="H129" s="10"/>
      <x:c r="I129" s="10"/>
    </x:row>
    <x:row r="130">
      <x:c r="H130" s="10"/>
      <x:c r="I130" s="10"/>
    </x:row>
    <x:row r="131">
      <x:c r="H131" s="10"/>
      <x:c r="I131" s="10"/>
    </x:row>
    <x:row r="132">
      <x:c r="H132" s="10"/>
      <x:c r="I132" s="10"/>
    </x:row>
    <x:row r="133">
      <x:c r="H133" s="10"/>
      <x:c r="I133" s="10"/>
    </x:row>
    <x:row r="134">
      <x:c r="H134" s="10"/>
      <x:c r="I134" s="10"/>
    </x:row>
    <x:row r="135">
      <x:c r="H135" s="10"/>
      <x:c r="I135" s="10"/>
    </x:row>
    <x:row r="136">
      <x:c r="H136" s="10"/>
      <x:c r="I136" s="10"/>
    </x:row>
    <x:row r="137">
      <x:c r="H137" s="10"/>
      <x:c r="I137" s="10"/>
    </x:row>
    <x:row r="138">
      <x:c r="H138" s="10"/>
      <x:c r="I138" s="10"/>
    </x:row>
    <x:row r="139">
      <x:c r="H139" s="10"/>
      <x:c r="I139" s="10"/>
    </x:row>
    <x:row r="140">
      <x:c r="H140" s="10"/>
      <x:c r="I140" s="10"/>
    </x:row>
    <x:row r="141">
      <x:c r="H141" s="10"/>
      <x:c r="I141" s="10"/>
    </x:row>
    <x:row r="142">
      <x:c r="H142" s="10"/>
      <x:c r="I142" s="10"/>
    </x:row>
    <x:row r="143">
      <x:c r="H143" s="10"/>
      <x:c r="I143" s="10"/>
    </x:row>
    <x:row r="144">
      <x:c r="H144" s="10"/>
      <x:c r="I144" s="10"/>
    </x:row>
    <x:row r="145">
      <x:c r="H145" s="10"/>
      <x:c r="I145" s="10"/>
    </x:row>
    <x:row r="146">
      <x:c r="H146" s="10"/>
      <x:c r="I146" s="10"/>
    </x:row>
    <x:row r="147">
      <x:c r="H147" s="10"/>
      <x:c r="I147" s="10"/>
    </x:row>
    <x:row r="148">
      <x:c r="H148" s="10"/>
      <x:c r="I148" s="10"/>
    </x:row>
    <x:row r="149">
      <x:c r="H149" s="10"/>
      <x:c r="I149" s="10"/>
    </x:row>
    <x:row r="150">
      <x:c r="H150" s="10"/>
      <x:c r="I150" s="10"/>
    </x:row>
    <x:row r="151">
      <x:c r="H151" s="10"/>
      <x:c r="I151" s="10"/>
    </x:row>
    <x:row r="152">
      <x:c r="H152" s="10"/>
      <x:c r="I152" s="10"/>
    </x:row>
    <x:row r="153">
      <x:c r="H153" s="10"/>
      <x:c r="I153" s="10"/>
    </x:row>
    <x:row r="154">
      <x:c r="H154" s="10"/>
      <x:c r="I154" s="10"/>
    </x:row>
    <x:row r="155">
      <x:c r="H155" s="10"/>
      <x:c r="I155" s="10"/>
    </x:row>
    <x:row r="156">
      <x:c r="H156" s="10"/>
      <x:c r="I156" s="10"/>
    </x:row>
    <x:row r="157">
      <x:c r="H157" s="10"/>
      <x:c r="I157" s="10"/>
    </x:row>
    <x:row r="158">
      <x:c r="H158" s="10"/>
      <x:c r="I158" s="10"/>
    </x:row>
    <x:row r="159">
      <x:c r="H159" s="10"/>
      <x:c r="I159" s="10"/>
    </x:row>
    <x:row r="160">
      <x:c r="H160" s="10"/>
      <x:c r="I160" s="10"/>
    </x:row>
    <x:row r="161">
      <x:c r="H161" s="10"/>
      <x:c r="I161" s="10"/>
    </x:row>
    <x:row r="162">
      <x:c r="H162" s="10"/>
      <x:c r="I162" s="10"/>
    </x:row>
    <x:row r="163">
      <x:c r="H163" s="10"/>
      <x:c r="I163" s="10"/>
    </x:row>
    <x:row r="164">
      <x:c r="H164" s="10"/>
      <x:c r="I164" s="10"/>
    </x:row>
    <x:row r="165">
      <x:c r="H165" s="10"/>
      <x:c r="I165" s="10"/>
    </x:row>
    <x:row r="166">
      <x:c r="H166" s="10"/>
      <x:c r="I166" s="10"/>
    </x:row>
    <x:row r="167">
      <x:c r="H167" s="10"/>
      <x:c r="I167" s="10"/>
    </x:row>
    <x:row r="168">
      <x:c r="H168" s="10"/>
      <x:c r="I168" s="10"/>
    </x:row>
    <x:row r="169">
      <x:c r="H169" s="10"/>
      <x:c r="I169" s="10"/>
    </x:row>
    <x:row r="170">
      <x:c r="H170" s="10"/>
      <x:c r="I170" s="10"/>
    </x:row>
    <x:row r="171">
      <x:c r="H171" s="10"/>
      <x:c r="I171" s="10"/>
    </x:row>
    <x:row r="172">
      <x:c r="H172" s="10"/>
      <x:c r="I172" s="10"/>
    </x:row>
    <x:row r="173">
      <x:c r="H173" s="10"/>
      <x:c r="I173" s="10"/>
    </x:row>
    <x:row r="174">
      <x:c r="H174" s="10"/>
      <x:c r="I174" s="10"/>
    </x:row>
    <x:row r="175">
      <x:c r="H175" s="10"/>
      <x:c r="I175" s="10"/>
    </x:row>
    <x:row r="176">
      <x:c r="H176" s="10"/>
      <x:c r="I176" s="10"/>
    </x:row>
    <x:row r="177">
      <x:c r="H177" s="10"/>
      <x:c r="I177" s="10"/>
    </x:row>
    <x:row r="178">
      <x:c r="H178" s="10"/>
      <x:c r="I178" s="10"/>
    </x:row>
    <x:row r="179">
      <x:c r="H179" s="10"/>
      <x:c r="I179" s="10"/>
    </x:row>
    <x:row r="180">
      <x:c r="H180" s="10"/>
      <x:c r="I180" s="10"/>
    </x:row>
    <x:row r="181">
      <x:c r="H181" s="10"/>
      <x:c r="I181" s="10"/>
    </x:row>
    <x:row r="182">
      <x:c r="H182" s="10"/>
      <x:c r="I182" s="10"/>
    </x:row>
    <x:row r="183">
      <x:c r="H183" s="10"/>
      <x:c r="I183" s="10"/>
    </x:row>
    <x:row r="184">
      <x:c r="H184" s="10"/>
      <x:c r="I184" s="10"/>
    </x:row>
    <x:row r="185">
      <x:c r="H185" s="10"/>
      <x:c r="I185" s="10"/>
    </x:row>
    <x:row r="186">
      <x:c r="H186" s="10"/>
      <x:c r="I186" s="10"/>
    </x:row>
    <x:row r="187">
      <x:c r="H187" s="10"/>
      <x:c r="I187" s="10"/>
    </x:row>
    <x:row r="188">
      <x:c r="H188" s="10"/>
      <x:c r="I188" s="10"/>
    </x:row>
    <x:row r="189">
      <x:c r="H189" s="10"/>
      <x:c r="I189" s="10"/>
    </x:row>
    <x:row r="190">
      <x:c r="H190" s="10"/>
      <x:c r="I190" s="10"/>
    </x:row>
    <x:row r="191">
      <x:c r="H191" s="10"/>
      <x:c r="I191" s="10"/>
    </x:row>
    <x:row r="192">
      <x:c r="H192" s="10"/>
      <x:c r="I192" s="10"/>
    </x:row>
    <x:row r="193">
      <x:c r="H193" s="10"/>
      <x:c r="I193" s="10"/>
    </x:row>
    <x:row r="194">
      <x:c r="H194" s="10"/>
      <x:c r="I194" s="10"/>
    </x:row>
    <x:row r="195">
      <x:c r="H195" s="10"/>
      <x:c r="I195" s="10"/>
    </x:row>
    <x:row r="196">
      <x:c r="H196" s="10"/>
      <x:c r="I196" s="10"/>
    </x:row>
    <x:row r="197">
      <x:c r="H197" s="10"/>
      <x:c r="I197" s="10"/>
    </x:row>
    <x:row r="198">
      <x:c r="H198" s="10"/>
      <x:c r="I198" s="10"/>
    </x:row>
    <x:row r="199">
      <x:c r="H199" s="10"/>
      <x:c r="I199" s="10"/>
    </x:row>
    <x:row r="200">
      <x:c r="H200" s="10"/>
      <x:c r="I200" s="10"/>
    </x:row>
    <x:row r="201">
      <x:c r="H201" s="10"/>
      <x:c r="I201" s="10"/>
    </x:row>
    <x:row r="202">
      <x:c r="H202" s="10"/>
      <x:c r="I202" s="10"/>
    </x:row>
    <x:row r="203">
      <x:c r="H203" s="10"/>
      <x:c r="I203" s="10"/>
    </x:row>
  </x:sheetData>
  <x:conditionalFormatting sqref="A4:N203">
    <x:cfRule type="expression" dxfId="0" priority="1">
      <x:formula>$L4="已完成"</x:formula>
    </x:cfRule>
    <x:cfRule type="expression" dxfId="1" priority="2">
      <x:formula>$L4="进行中"</x:formula>
    </x:cfRule>
    <x:cfRule type="expression" dxfId="2" priority="3">
      <x:formula>$L4="风险"</x:formula>
    </x:cfRule>
  </x:conditionalFormatting>
  <x:dataValidations count="2">
    <x:dataValidation type="list" sqref="B4:B203">
      <x:formula1>下拉选项!$B$2:$B$6</x:formula1>
    </x:dataValidation>
    <x:dataValidation type="list" sqref="L4:L203">
      <x:formula1>下拉选项!$A$2:$A$6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7325ffed0145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16.670000076293945" hidden="0" customWidth="1"/>
    <x:col min="3" max="3" width="21.110000610351562" hidden="0" customWidth="1"/>
    <x:col min="4" max="4" width="24.440000534057617" hidden="0" customWidth="1"/>
    <x:col min="5" max="5" width="12.779999732971191" hidden="0" customWidth="1"/>
    <x:col min="6" max="6" width="20" hidden="0" customWidth="1"/>
    <x:col min="7" max="7" width="18.889999389648438" hidden="0" customWidth="1"/>
    <x:col min="8" max="8" width="10" hidden="0" customWidth="1"/>
    <x:col min="9" max="9" width="14.4399995803833" hidden="0" customWidth="1"/>
    <x:col min="10" max="10" width="10" hidden="0" customWidth="1"/>
    <x:col min="11" max="11" width="23.329999923706055" hidden="0" customWidth="1"/>
    <x:col min="12" max="12" width="10" hidden="0" customWidth="1"/>
    <x:col min="13" max="13" width="20" hidden="0" customWidth="1"/>
  </x:cols>
  <x:sheetData>
    <x:row r="1" ht="25.5" customHeight="1">
      <x:c r="A1" s="7" t="str">
        <x:v>目标市场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</x:row>
    <x:row r="2" ht="21" customHeight="1">
      <x:c r="A2" s="8" t="str">
        <x:v>按国家评估需求、监管、物流和进入优先级。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>
      <x:c r="A3" s="4" t="str">
        <x:v>国家/地区</x:v>
      </x:c>
      <x:c r="B3" s="4" t="str">
        <x:v>主推产品</x:v>
      </x:c>
      <x:c r="C3" s="4" t="str">
        <x:v>买家画像</x:v>
      </x:c>
      <x:c r="D3" s="4" t="str">
        <x:v>需求信号</x:v>
      </x:c>
      <x:c r="E3" s="4" t="str">
        <x:v>价格带USD</x:v>
      </x:c>
      <x:c r="F3" s="4" t="str">
        <x:v>认证/监管</x:v>
      </x:c>
      <x:c r="G3" s="4" t="str">
        <x:v>物流难点</x:v>
      </x:c>
      <x:c r="H3" s="4" t="str">
        <x:v>竞争强度</x:v>
      </x:c>
      <x:c r="I3" s="4" t="str">
        <x:v>付款习惯</x:v>
      </x:c>
      <x:c r="J3" s="4" t="str">
        <x:v>进入优先级</x:v>
      </x:c>
      <x:c r="K3" s="4" t="str">
        <x:v>本月动作</x:v>
      </x:c>
      <x:c r="L3" s="4" t="str">
        <x:v>状态</x:v>
      </x:c>
      <x:c r="M3" s="4" t="str">
        <x:v>备注</x:v>
      </x:c>
    </x:row>
    <x:row r="4">
      <x:c r="A4" s="5" t="str">
        <x:v>巴西</x:v>
      </x:c>
      <x:c r="B4" s="5" t="str">
        <x:v>农用无人机、配件</x:v>
      </x:c>
      <x:c r="C4" s="5" t="str">
        <x:v>大型农场、农机经销商</x:v>
      </x:c>
      <x:c r="D4" s="5" t="str">
        <x:v>农业喷洒需求强，地块大</x:v>
      </x:c>
      <x:c r="E4" s="5" t="str">
        <x:v>3,500-8,000</x:v>
      </x:c>
      <x:c r="F4" s="5" t="str">
        <x:v>ANATEL/电池运输需确认</x:v>
      </x:c>
      <x:c r="G4" s="5" t="str">
        <x:v>清关和关税较复杂</x:v>
      </x:c>
      <x:c r="H4" s="5" t="str">
        <x:v>高</x:v>
      </x:c>
      <x:c r="I4" s="5" t="str">
        <x:v>T/T 分阶段</x:v>
      </x:c>
      <x:c r="J4" s="5" t="str">
        <x:v>高</x:v>
      </x:c>
      <x:c r="K4" s="5" t="str">
        <x:v>收集10个经销商名单</x:v>
      </x:c>
      <x:c r="L4" s="5" t="str">
        <x:v>进行中</x:v>
      </x:c>
      <x:c r="M4" s="5" t="str">
        <x:v>适合农用机首批验证</x:v>
      </x:c>
    </x:row>
    <x:row r="5">
      <x:c r="A5" s="5" t="str">
        <x:v>美国</x:v>
      </x:c>
      <x:c r="B5" s="5" t="str">
        <x:v>FPV、配件、工业机</x:v>
      </x:c>
      <x:c r="C5" s="5" t="str">
        <x:v>FPV店铺、维修商、集成商</x:v>
      </x:c>
      <x:c r="D5" s="5" t="str">
        <x:v>消费级/工业级需求都活跃</x:v>
      </x:c>
      <x:c r="E5" s="5" t="str">
        <x:v>50-7,000</x:v>
      </x:c>
      <x:c r="F5" s="5" t="str">
        <x:v>FCC、FAA相关要求</x:v>
      </x:c>
      <x:c r="G5" s="5" t="str">
        <x:v>电池运输要求严格</x:v>
      </x:c>
      <x:c r="H5" s="5" t="str">
        <x:v>高</x:v>
      </x:c>
      <x:c r="I5" s="5" t="str">
        <x:v>信用卡/PayPal/T/T</x:v>
      </x:c>
      <x:c r="J5" s="5" t="str">
        <x:v>高</x:v>
      </x:c>
      <x:c r="K5" s="5" t="str">
        <x:v>Google关键词和竞品页收集</x:v>
      </x:c>
      <x:c r="L5" s="5" t="str">
        <x:v>进行中</x:v>
      </x:c>
      <x:c r="M5" s="5" t="str">
        <x:v>适合配件和FPV切入</x:v>
      </x:c>
    </x:row>
    <x:row r="6">
      <x:c r="A6" s="5" t="str">
        <x:v>墨西哥</x:v>
      </x:c>
      <x:c r="B6" s="5" t="str">
        <x:v>农用无人机、配件</x:v>
      </x:c>
      <x:c r="C6" s="5" t="str">
        <x:v>农资商、农业服务商</x:v>
      </x:c>
      <x:c r="D6" s="5" t="str">
        <x:v>价格敏感但需求增长</x:v>
      </x:c>
      <x:c r="E6" s="5" t="str">
        <x:v>2,800-6,000</x:v>
      </x:c>
      <x:c r="F6" s="5" t="str">
        <x:v>进口资质待确认</x:v>
      </x:c>
      <x:c r="G6" s="5" t="str">
        <x:v>可从美国/中国直发</x:v>
      </x:c>
      <x:c r="H6" s="5" t="str">
        <x:v>中</x:v>
      </x:c>
      <x:c r="I6" s="5" t="str">
        <x:v>T/T</x:v>
      </x:c>
      <x:c r="J6" s="5" t="str">
        <x:v>中</x:v>
      </x:c>
      <x:c r="K6" s="5" t="str">
        <x:v>找西语关键词和客户</x:v>
      </x:c>
      <x:c r="L6" s="5" t="str">
        <x:v>未开始</x:v>
      </x:c>
      <x:c r="M6" s="5" t="str"/>
    </x:row>
    <x:row r="7">
      <x:c r="A7" s="5" t="str">
        <x:v>德国</x:v>
      </x:c>
      <x:c r="B7" s="5" t="str">
        <x:v>配件、工业无人机</x:v>
      </x:c>
      <x:c r="C7" s="5" t="str">
        <x:v>工业集成商、经销商</x:v>
      </x:c>
      <x:c r="D7" s="5" t="str">
        <x:v>重视质量、认证、售后</x:v>
      </x:c>
      <x:c r="E7" s="5" t="str">
        <x:v>80-9,000</x:v>
      </x:c>
      <x:c r="F7" s="5" t="str">
        <x:v>CE、RoHS、电池合规</x:v>
      </x:c>
      <x:c r="G7" s="5" t="str">
        <x:v>要求文件完整</x:v>
      </x:c>
      <x:c r="H7" s="5" t="str">
        <x:v>高</x:v>
      </x:c>
      <x:c r="I7" s="5" t="str">
        <x:v>T/T/银行转账</x:v>
      </x:c>
      <x:c r="J7" s="5" t="str">
        <x:v>中</x:v>
      </x:c>
      <x:c r="K7" s="5" t="str">
        <x:v>准备英文/德文技术资料</x:v>
      </x:c>
      <x:c r="L7" s="5" t="str">
        <x:v>未开始</x:v>
      </x:c>
      <x:c r="M7" s="5" t="str"/>
    </x:row>
    <x:row r="8">
      <x:c r="A8" s="5" t="str">
        <x:v>阿联酋</x:v>
      </x:c>
      <x:c r="B8" s="5" t="str">
        <x:v>工业无人机、整机</x:v>
      </x:c>
      <x:c r="C8" s="5" t="str">
        <x:v>安防、能源、测绘公司</x:v>
      </x:c>
      <x:c r="D8" s="5" t="str">
        <x:v>高客单价项目型采购</x:v>
      </x:c>
      <x:c r="E8" s="5" t="str">
        <x:v>5,000-20,000</x:v>
      </x:c>
      <x:c r="F8" s="5" t="str">
        <x:v>进口许可/飞行许可待确认</x:v>
      </x:c>
      <x:c r="G8" s="5" t="str">
        <x:v>项目周期较长</x:v>
      </x:c>
      <x:c r="H8" s="5" t="str">
        <x:v>中</x:v>
      </x:c>
      <x:c r="I8" s="5" t="str">
        <x:v>T/T/L/C</x:v>
      </x:c>
      <x:c r="J8" s="5" t="str">
        <x:v>中</x:v>
      </x:c>
      <x:c r="K8" s="5" t="str">
        <x:v>LinkedIn搜集系统集成商</x:v>
      </x:c>
      <x:c r="L8" s="5" t="str">
        <x:v>未开始</x:v>
      </x:c>
      <x:c r="M8" s="5" t="str"/>
    </x:row>
  </x:sheetData>
  <x:conditionalFormatting sqref="A4:M203">
    <x:cfRule type="expression" dxfId="3" priority="1">
      <x:formula>$L4="已完成"</x:formula>
    </x:cfRule>
    <x:cfRule type="expression" dxfId="4" priority="2">
      <x:formula>$L4="进行中"</x:formula>
    </x:cfRule>
    <x:cfRule type="expression" dxfId="5" priority="3">
      <x:formula>$L4="风险"</x:formula>
    </x:cfRule>
  </x:conditionalFormatting>
  <x:dataValidations count="2">
    <x:dataValidation type="list" sqref="J4:J203">
      <x:formula1>下拉选项!$F$2:$F$4</x:formula1>
    </x:dataValidation>
    <x:dataValidation type="list" sqref="L4:L203">
      <x:formula1>下拉选项!$A$2:$A$6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bde8fcc50749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670000076293945" hidden="0" customWidth="1"/>
    <x:col min="2" max="2" width="14.4399995803833" hidden="0" customWidth="1"/>
    <x:col min="3" max="3" width="10" hidden="0" customWidth="1"/>
    <x:col min="4" max="4" width="12.220000267028809" hidden="0" customWidth="1"/>
    <x:col min="5" max="5" width="21.110000610351562" hidden="0" customWidth="1"/>
    <x:col min="6" max="6" width="10.5600004196167" hidden="0" customWidth="1"/>
    <x:col min="7" max="7" width="8.329999923706055" hidden="0" customWidth="1"/>
    <x:col min="8" max="8" width="21.110000610351562" hidden="0" customWidth="1"/>
    <x:col min="9" max="9" width="22.219999313354492" hidden="0" customWidth="1"/>
    <x:col min="10" max="10" width="22.219999313354492" hidden="0" customWidth="1"/>
    <x:col min="11" max="11" width="9.4399995803833" hidden="0" customWidth="1"/>
    <x:col min="12" max="12" width="18.889999389648438" hidden="0" customWidth="1"/>
  </x:cols>
  <x:sheetData>
    <x:row r="1" ht="25.5" customHeight="1">
      <x:c r="A1" s="7" t="str">
        <x:v>竞品分析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2" ht="21" customHeight="1">
      <x:c r="A2" s="8" t="str">
        <x:v>记录竞争对手价格、卖点、弱点和我们的差异化打法。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 s="4" t="str">
        <x:v>平台</x:v>
      </x:c>
      <x:c r="B3" s="4" t="str">
        <x:v>竞品/店铺名</x:v>
      </x:c>
      <x:c r="C3" s="4" t="str">
        <x:v>国家</x:v>
      </x:c>
      <x:c r="D3" s="4" t="str">
        <x:v>产品类型</x:v>
      </x:c>
      <x:c r="E3" s="4" t="str">
        <x:v>产品/链接关键词</x:v>
      </x:c>
      <x:c r="F3" s="4" t="str">
        <x:v>标价USD</x:v>
      </x:c>
      <x:c r="G3" s="4" t="str">
        <x:v>MOQ</x:v>
      </x:c>
      <x:c r="H3" s="4" t="str">
        <x:v>核心卖点</x:v>
      </x:c>
      <x:c r="I3" s="4" t="str">
        <x:v>弱点/机会</x:v>
      </x:c>
      <x:c r="J3" s="4" t="str">
        <x:v>我们应对</x:v>
      </x:c>
      <x:c r="K3" s="4" t="str">
        <x:v>优先级</x:v>
      </x:c>
      <x:c r="L3" s="4" t="str">
        <x:v>备注</x:v>
      </x:c>
    </x:row>
    <x:row r="4">
      <x:c r="A4" s="5" t="str">
        <x:v>Alibaba</x:v>
      </x:c>
      <x:c r="B4" s="5" t="str">
        <x:v>待补充</x:v>
      </x:c>
      <x:c r="C4" s="5" t="str">
        <x:v>中国</x:v>
      </x:c>
      <x:c r="D4" s="5" t="str">
        <x:v>农用无人机</x:v>
      </x:c>
      <x:c r="E4" s="5" t="str">
        <x:v>30L agricultural drone</x:v>
      </x:c>
      <x:c r="F4" s="9" t="n">
        <x:v>3999</x:v>
      </x:c>
      <x:c r="G4" s="5" t="str">
        <x:v>1 set</x:v>
      </x:c>
      <x:c r="H4" s="5" t="str">
        <x:v>价格低、参数齐</x:v>
      </x:c>
      <x:c r="I4" s="5" t="str">
        <x:v>同质化严重，案例少</x:v>
      </x:c>
      <x:c r="J4" s="5" t="str">
        <x:v>突出售后、配件包、交期</x:v>
      </x:c>
      <x:c r="K4" s="5" t="str">
        <x:v>高</x:v>
      </x:c>
      <x:c r="L4" s="5" t="str">
        <x:v>第1周补齐10家</x:v>
      </x:c>
    </x:row>
    <x:row r="5">
      <x:c r="A5" s="5" t="str">
        <x:v>Google</x:v>
      </x:c>
      <x:c r="B5" s="5" t="str">
        <x:v>待补充</x:v>
      </x:c>
      <x:c r="C5" s="5" t="str">
        <x:v>美国</x:v>
      </x:c>
      <x:c r="D5" s="5" t="str">
        <x:v>FPV</x:v>
      </x:c>
      <x:c r="E5" s="5" t="str">
        <x:v>5 inch FPV drone kit</x:v>
      </x:c>
      <x:c r="F5" s="9" t="n">
        <x:v>299</x:v>
      </x:c>
      <x:c r="G5" s="5" t="str">
        <x:v>1 set</x:v>
      </x:c>
      <x:c r="H5" s="5" t="str">
        <x:v>套装清晰、零售友好</x:v>
      </x:c>
      <x:c r="I5" s="5" t="str">
        <x:v>批发政策不明显</x:v>
      </x:c>
      <x:c r="J5" s="5" t="str">
        <x:v>做B2B批量价和可定制</x:v>
      </x:c>
      <x:c r="K5" s="5" t="str">
        <x:v>中</x:v>
      </x:c>
      <x:c r="L5" s="5" t="str"/>
    </x:row>
    <x:row r="6">
      <x:c r="A6" s="5" t="str">
        <x:v>Made-in-China</x:v>
      </x:c>
      <x:c r="B6" s="5" t="str">
        <x:v>待补充</x:v>
      </x:c>
      <x:c r="C6" s="5" t="str">
        <x:v>中国</x:v>
      </x:c>
      <x:c r="D6" s="5" t="str">
        <x:v>工业无人机</x:v>
      </x:c>
      <x:c r="E6" s="5" t="str">
        <x:v>inspection drone platform</x:v>
      </x:c>
      <x:c r="F6" s="9" t="n">
        <x:v>6500</x:v>
      </x:c>
      <x:c r="G6" s="5" t="str">
        <x:v>1 set</x:v>
      </x:c>
      <x:c r="H6" s="5" t="str">
        <x:v>工业场景描述完整</x:v>
      </x:c>
      <x:c r="I6" s="5" t="str">
        <x:v>认证资料不透明</x:v>
      </x:c>
      <x:c r="J6" s="5" t="str">
        <x:v>准备案例PDF和参数对照</x:v>
      </x:c>
      <x:c r="K6" s="5" t="str">
        <x:v>中</x:v>
      </x:c>
      <x:c r="L6" s="5" t="str"/>
    </x:row>
    <x:row r="7">
      <x:c r="F7" s="10"/>
    </x:row>
    <x:row r="8">
      <x:c r="F8" s="10"/>
    </x:row>
    <x:row r="9">
      <x:c r="F9" s="10"/>
    </x:row>
    <x:row r="10">
      <x:c r="F10" s="10"/>
    </x:row>
    <x:row r="11">
      <x:c r="F11" s="10"/>
    </x:row>
    <x:row r="12">
      <x:c r="F12" s="10"/>
    </x:row>
    <x:row r="13">
      <x:c r="F13" s="10"/>
    </x:row>
    <x:row r="14">
      <x:c r="F14" s="10"/>
    </x:row>
    <x:row r="15">
      <x:c r="F15" s="10"/>
    </x:row>
    <x:row r="16">
      <x:c r="F16" s="10"/>
    </x:row>
    <x:row r="17">
      <x:c r="F17" s="10"/>
    </x:row>
    <x:row r="18">
      <x:c r="F18" s="10"/>
    </x:row>
    <x:row r="19">
      <x:c r="F19" s="10"/>
    </x:row>
    <x:row r="20">
      <x:c r="F20" s="10"/>
    </x:row>
    <x:row r="21">
      <x:c r="F21" s="10"/>
    </x:row>
    <x:row r="22">
      <x:c r="F22" s="10"/>
    </x:row>
    <x:row r="23">
      <x:c r="F23" s="10"/>
    </x:row>
    <x:row r="24">
      <x:c r="F24" s="10"/>
    </x:row>
    <x:row r="25">
      <x:c r="F25" s="10"/>
    </x:row>
    <x:row r="26">
      <x:c r="F26" s="10"/>
    </x:row>
    <x:row r="27">
      <x:c r="F27" s="10"/>
    </x:row>
    <x:row r="28">
      <x:c r="F28" s="10"/>
    </x:row>
    <x:row r="29">
      <x:c r="F29" s="10"/>
    </x:row>
    <x:row r="30">
      <x:c r="F30" s="10"/>
    </x:row>
    <x:row r="31">
      <x:c r="F31" s="10"/>
    </x:row>
    <x:row r="32">
      <x:c r="F32" s="10"/>
    </x:row>
    <x:row r="33">
      <x:c r="F33" s="10"/>
    </x:row>
    <x:row r="34">
      <x:c r="F34" s="10"/>
    </x:row>
    <x:row r="35">
      <x:c r="F35" s="10"/>
    </x:row>
    <x:row r="36">
      <x:c r="F36" s="10"/>
    </x:row>
    <x:row r="37">
      <x:c r="F37" s="10"/>
    </x:row>
    <x:row r="38">
      <x:c r="F38" s="10"/>
    </x:row>
    <x:row r="39">
      <x:c r="F39" s="10"/>
    </x:row>
    <x:row r="40">
      <x:c r="F40" s="10"/>
    </x:row>
    <x:row r="41">
      <x:c r="F41" s="10"/>
    </x:row>
    <x:row r="42">
      <x:c r="F42" s="10"/>
    </x:row>
    <x:row r="43">
      <x:c r="F43" s="10"/>
    </x:row>
    <x:row r="44">
      <x:c r="F44" s="10"/>
    </x:row>
    <x:row r="45">
      <x:c r="F45" s="10"/>
    </x:row>
    <x:row r="46">
      <x:c r="F46" s="10"/>
    </x:row>
    <x:row r="47">
      <x:c r="F47" s="10"/>
    </x:row>
    <x:row r="48">
      <x:c r="F48" s="10"/>
    </x:row>
    <x:row r="49">
      <x:c r="F49" s="10"/>
    </x:row>
    <x:row r="50">
      <x:c r="F50" s="10"/>
    </x:row>
    <x:row r="51">
      <x:c r="F51" s="10"/>
    </x:row>
    <x:row r="52">
      <x:c r="F52" s="10"/>
    </x:row>
    <x:row r="53">
      <x:c r="F53" s="10"/>
    </x:row>
    <x:row r="54">
      <x:c r="F54" s="10"/>
    </x:row>
    <x:row r="55">
      <x:c r="F55" s="10"/>
    </x:row>
    <x:row r="56">
      <x:c r="F56" s="10"/>
    </x:row>
    <x:row r="57">
      <x:c r="F57" s="10"/>
    </x:row>
    <x:row r="58">
      <x:c r="F58" s="10"/>
    </x:row>
    <x:row r="59">
      <x:c r="F59" s="10"/>
    </x:row>
    <x:row r="60">
      <x:c r="F60" s="10"/>
    </x:row>
    <x:row r="61">
      <x:c r="F61" s="10"/>
    </x:row>
    <x:row r="62">
      <x:c r="F62" s="10"/>
    </x:row>
    <x:row r="63">
      <x:c r="F63" s="10"/>
    </x:row>
    <x:row r="64">
      <x:c r="F64" s="10"/>
    </x:row>
    <x:row r="65">
      <x:c r="F65" s="10"/>
    </x:row>
    <x:row r="66">
      <x:c r="F66" s="10"/>
    </x:row>
    <x:row r="67">
      <x:c r="F67" s="10"/>
    </x:row>
    <x:row r="68">
      <x:c r="F68" s="10"/>
    </x:row>
    <x:row r="69">
      <x:c r="F69" s="10"/>
    </x:row>
    <x:row r="70">
      <x:c r="F70" s="10"/>
    </x:row>
    <x:row r="71">
      <x:c r="F71" s="10"/>
    </x:row>
    <x:row r="72">
      <x:c r="F72" s="10"/>
    </x:row>
    <x:row r="73">
      <x:c r="F73" s="10"/>
    </x:row>
    <x:row r="74">
      <x:c r="F74" s="10"/>
    </x:row>
    <x:row r="75">
      <x:c r="F75" s="10"/>
    </x:row>
    <x:row r="76">
      <x:c r="F76" s="10"/>
    </x:row>
    <x:row r="77">
      <x:c r="F77" s="10"/>
    </x:row>
    <x:row r="78">
      <x:c r="F78" s="10"/>
    </x:row>
    <x:row r="79">
      <x:c r="F79" s="10"/>
    </x:row>
    <x:row r="80">
      <x:c r="F80" s="10"/>
    </x:row>
    <x:row r="81">
      <x:c r="F81" s="10"/>
    </x:row>
    <x:row r="82">
      <x:c r="F82" s="10"/>
    </x:row>
    <x:row r="83">
      <x:c r="F83" s="10"/>
    </x:row>
    <x:row r="84">
      <x:c r="F84" s="10"/>
    </x:row>
    <x:row r="85">
      <x:c r="F85" s="10"/>
    </x:row>
    <x:row r="86">
      <x:c r="F86" s="10"/>
    </x:row>
    <x:row r="87">
      <x:c r="F87" s="10"/>
    </x:row>
    <x:row r="88">
      <x:c r="F88" s="10"/>
    </x:row>
    <x:row r="89">
      <x:c r="F89" s="10"/>
    </x:row>
    <x:row r="90">
      <x:c r="F90" s="10"/>
    </x:row>
    <x:row r="91">
      <x:c r="F91" s="10"/>
    </x:row>
    <x:row r="92">
      <x:c r="F92" s="10"/>
    </x:row>
    <x:row r="93">
      <x:c r="F93" s="10"/>
    </x:row>
    <x:row r="94">
      <x:c r="F94" s="10"/>
    </x:row>
    <x:row r="95">
      <x:c r="F95" s="10"/>
    </x:row>
    <x:row r="96">
      <x:c r="F96" s="10"/>
    </x:row>
    <x:row r="97">
      <x:c r="F97" s="10"/>
    </x:row>
    <x:row r="98">
      <x:c r="F98" s="10"/>
    </x:row>
    <x:row r="99">
      <x:c r="F99" s="10"/>
    </x:row>
    <x:row r="100">
      <x:c r="F100" s="10"/>
    </x:row>
    <x:row r="101">
      <x:c r="F101" s="10"/>
    </x:row>
    <x:row r="102">
      <x:c r="F102" s="10"/>
    </x:row>
    <x:row r="103">
      <x:c r="F103" s="10"/>
    </x:row>
    <x:row r="104">
      <x:c r="F104" s="10"/>
    </x:row>
    <x:row r="105">
      <x:c r="F105" s="10"/>
    </x:row>
    <x:row r="106">
      <x:c r="F106" s="10"/>
    </x:row>
    <x:row r="107">
      <x:c r="F107" s="10"/>
    </x:row>
    <x:row r="108">
      <x:c r="F108" s="10"/>
    </x:row>
    <x:row r="109">
      <x:c r="F109" s="10"/>
    </x:row>
    <x:row r="110">
      <x:c r="F110" s="10"/>
    </x:row>
    <x:row r="111">
      <x:c r="F111" s="10"/>
    </x:row>
    <x:row r="112">
      <x:c r="F112" s="10"/>
    </x:row>
    <x:row r="113">
      <x:c r="F113" s="10"/>
    </x:row>
    <x:row r="114">
      <x:c r="F114" s="10"/>
    </x:row>
    <x:row r="115">
      <x:c r="F115" s="10"/>
    </x:row>
    <x:row r="116">
      <x:c r="F116" s="10"/>
    </x:row>
    <x:row r="117">
      <x:c r="F117" s="10"/>
    </x:row>
    <x:row r="118">
      <x:c r="F118" s="10"/>
    </x:row>
    <x:row r="119">
      <x:c r="F119" s="10"/>
    </x:row>
    <x:row r="120">
      <x:c r="F120" s="10"/>
    </x:row>
    <x:row r="121">
      <x:c r="F121" s="10"/>
    </x:row>
    <x:row r="122">
      <x:c r="F122" s="10"/>
    </x:row>
    <x:row r="123">
      <x:c r="F123" s="10"/>
    </x:row>
    <x:row r="124">
      <x:c r="F124" s="10"/>
    </x:row>
    <x:row r="125">
      <x:c r="F125" s="10"/>
    </x:row>
    <x:row r="126">
      <x:c r="F126" s="10"/>
    </x:row>
    <x:row r="127">
      <x:c r="F127" s="10"/>
    </x:row>
    <x:row r="128">
      <x:c r="F128" s="10"/>
    </x:row>
    <x:row r="129">
      <x:c r="F129" s="10"/>
    </x:row>
    <x:row r="130">
      <x:c r="F130" s="10"/>
    </x:row>
    <x:row r="131">
      <x:c r="F131" s="10"/>
    </x:row>
    <x:row r="132">
      <x:c r="F132" s="10"/>
    </x:row>
    <x:row r="133">
      <x:c r="F133" s="10"/>
    </x:row>
    <x:row r="134">
      <x:c r="F134" s="10"/>
    </x:row>
    <x:row r="135">
      <x:c r="F135" s="10"/>
    </x:row>
    <x:row r="136">
      <x:c r="F136" s="10"/>
    </x:row>
    <x:row r="137">
      <x:c r="F137" s="10"/>
    </x:row>
    <x:row r="138">
      <x:c r="F138" s="10"/>
    </x:row>
    <x:row r="139">
      <x:c r="F139" s="10"/>
    </x:row>
    <x:row r="140">
      <x:c r="F140" s="10"/>
    </x:row>
    <x:row r="141">
      <x:c r="F141" s="10"/>
    </x:row>
    <x:row r="142">
      <x:c r="F142" s="10"/>
    </x:row>
    <x:row r="143">
      <x:c r="F143" s="10"/>
    </x:row>
    <x:row r="144">
      <x:c r="F144" s="10"/>
    </x:row>
    <x:row r="145">
      <x:c r="F145" s="10"/>
    </x:row>
    <x:row r="146">
      <x:c r="F146" s="10"/>
    </x:row>
    <x:row r="147">
      <x:c r="F147" s="10"/>
    </x:row>
    <x:row r="148">
      <x:c r="F148" s="10"/>
    </x:row>
    <x:row r="149">
      <x:c r="F149" s="10"/>
    </x:row>
    <x:row r="150">
      <x:c r="F150" s="10"/>
    </x:row>
    <x:row r="151">
      <x:c r="F151" s="10"/>
    </x:row>
    <x:row r="152">
      <x:c r="F152" s="10"/>
    </x:row>
    <x:row r="153">
      <x:c r="F153" s="10"/>
    </x:row>
    <x:row r="154">
      <x:c r="F154" s="10"/>
    </x:row>
    <x:row r="155">
      <x:c r="F155" s="10"/>
    </x:row>
    <x:row r="156">
      <x:c r="F156" s="10"/>
    </x:row>
    <x:row r="157">
      <x:c r="F157" s="10"/>
    </x:row>
    <x:row r="158">
      <x:c r="F158" s="10"/>
    </x:row>
    <x:row r="159">
      <x:c r="F159" s="10"/>
    </x:row>
    <x:row r="160">
      <x:c r="F160" s="10"/>
    </x:row>
    <x:row r="161">
      <x:c r="F161" s="10"/>
    </x:row>
    <x:row r="162">
      <x:c r="F162" s="10"/>
    </x:row>
    <x:row r="163">
      <x:c r="F163" s="10"/>
    </x:row>
    <x:row r="164">
      <x:c r="F164" s="10"/>
    </x:row>
    <x:row r="165">
      <x:c r="F165" s="10"/>
    </x:row>
    <x:row r="166">
      <x:c r="F166" s="10"/>
    </x:row>
    <x:row r="167">
      <x:c r="F167" s="10"/>
    </x:row>
    <x:row r="168">
      <x:c r="F168" s="10"/>
    </x:row>
    <x:row r="169">
      <x:c r="F169" s="10"/>
    </x:row>
    <x:row r="170">
      <x:c r="F170" s="10"/>
    </x:row>
    <x:row r="171">
      <x:c r="F171" s="10"/>
    </x:row>
    <x:row r="172">
      <x:c r="F172" s="10"/>
    </x:row>
    <x:row r="173">
      <x:c r="F173" s="10"/>
    </x:row>
    <x:row r="174">
      <x:c r="F174" s="10"/>
    </x:row>
    <x:row r="175">
      <x:c r="F175" s="10"/>
    </x:row>
    <x:row r="176">
      <x:c r="F176" s="10"/>
    </x:row>
    <x:row r="177">
      <x:c r="F177" s="10"/>
    </x:row>
    <x:row r="178">
      <x:c r="F178" s="10"/>
    </x:row>
    <x:row r="179">
      <x:c r="F179" s="10"/>
    </x:row>
    <x:row r="180">
      <x:c r="F180" s="10"/>
    </x:row>
    <x:row r="181">
      <x:c r="F181" s="10"/>
    </x:row>
    <x:row r="182">
      <x:c r="F182" s="10"/>
    </x:row>
    <x:row r="183">
      <x:c r="F183" s="10"/>
    </x:row>
    <x:row r="184">
      <x:c r="F184" s="10"/>
    </x:row>
    <x:row r="185">
      <x:c r="F185" s="10"/>
    </x:row>
    <x:row r="186">
      <x:c r="F186" s="10"/>
    </x:row>
    <x:row r="187">
      <x:c r="F187" s="10"/>
    </x:row>
    <x:row r="188">
      <x:c r="F188" s="10"/>
    </x:row>
    <x:row r="189">
      <x:c r="F189" s="10"/>
    </x:row>
    <x:row r="190">
      <x:c r="F190" s="10"/>
    </x:row>
    <x:row r="191">
      <x:c r="F191" s="10"/>
    </x:row>
    <x:row r="192">
      <x:c r="F192" s="10"/>
    </x:row>
    <x:row r="193">
      <x:c r="F193" s="10"/>
    </x:row>
    <x:row r="194">
      <x:c r="F194" s="10"/>
    </x:row>
    <x:row r="195">
      <x:c r="F195" s="10"/>
    </x:row>
    <x:row r="196">
      <x:c r="F196" s="10"/>
    </x:row>
    <x:row r="197">
      <x:c r="F197" s="10"/>
    </x:row>
    <x:row r="198">
      <x:c r="F198" s="10"/>
    </x:row>
    <x:row r="199">
      <x:c r="F199" s="10"/>
    </x:row>
    <x:row r="200">
      <x:c r="F200" s="10"/>
    </x:row>
    <x:row r="201">
      <x:c r="F201" s="10"/>
    </x:row>
    <x:row r="202">
      <x:c r="F202" s="10"/>
    </x:row>
    <x:row r="203">
      <x:c r="F203" s="10"/>
    </x:row>
  </x:sheetData>
  <x:pageMargins left="0.7" right="0.7" top="0.75" bottom="0.75" header="0.3" footer="0.3"/>
  <x:tableParts count="1">
    <x:tablePart xmlns:r="http://schemas.openxmlformats.org/officeDocument/2006/relationships" r:id="R71f0516d3ce843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29999923706055" hidden="0" customWidth="1"/>
    <x:col min="2" max="2" width="19.440000534057617" hidden="0" customWidth="1"/>
    <x:col min="3" max="3" width="10" hidden="0" customWidth="1"/>
    <x:col min="4" max="4" width="14.4399995803833" hidden="0" customWidth="1"/>
    <x:col min="5" max="5" width="16.670000076293945" hidden="0" customWidth="1"/>
    <x:col min="6" max="6" width="11.109999656677246" hidden="0" customWidth="1"/>
    <x:col min="7" max="7" width="19.440000534057617" hidden="0" customWidth="1"/>
    <x:col min="8" max="8" width="12.220000267028809" hidden="0" customWidth="1"/>
    <x:col min="9" max="9" width="10" hidden="0" customWidth="1"/>
    <x:col min="10" max="10" width="10.5600004196167" hidden="0" customWidth="1"/>
    <x:col min="11" max="11" width="24.440000534057617" hidden="0" customWidth="1"/>
    <x:col min="12" max="12" width="20" hidden="0" customWidth="1"/>
    <x:col min="13" max="13" width="12.220000267028809" hidden="0" customWidth="1"/>
    <x:col min="14" max="14" width="8.329999923706055" hidden="0" customWidth="1"/>
    <x:col min="15" max="15" width="20" hidden="0" customWidth="1"/>
  </x:cols>
  <x:sheetData>
    <x:row r="1" ht="25.5" customHeight="1">
      <x:c r="A1" s="7" t="str">
        <x:v>潜在客户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</x:row>
    <x:row r="2" ht="21" customHeight="1">
      <x:c r="A2" s="8" t="str">
        <x:v>所有客户线索统一沉淀，跟进阶段和下次动作必须持续更新。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3">
      <x:c r="A3" s="4" t="str">
        <x:v>客户ID</x:v>
      </x:c>
      <x:c r="B3" s="4" t="str">
        <x:v>公司/联系人</x:v>
      </x:c>
      <x:c r="C3" s="4" t="str">
        <x:v>国家</x:v>
      </x:c>
      <x:c r="D3" s="4" t="str">
        <x:v>客户类型</x:v>
      </x:c>
      <x:c r="E3" s="4" t="str">
        <x:v>需求产品</x:v>
      </x:c>
      <x:c r="F3" s="4" t="str">
        <x:v>来源</x:v>
      </x:c>
      <x:c r="G3" s="4" t="str">
        <x:v>联系方式</x:v>
      </x:c>
      <x:c r="H3" s="4" t="str">
        <x:v>首次联系日期</x:v>
      </x:c>
      <x:c r="I3" s="4" t="str">
        <x:v>跟进阶段</x:v>
      </x:c>
      <x:c r="J3" s="4" t="str">
        <x:v>预算USD</x:v>
      </x:c>
      <x:c r="K3" s="4" t="str">
        <x:v>痛点/需求</x:v>
      </x:c>
      <x:c r="L3" s="4" t="str">
        <x:v>下一步动作</x:v>
      </x:c>
      <x:c r="M3" s="4" t="str">
        <x:v>下次跟进</x:v>
      </x:c>
      <x:c r="N3" s="4" t="str">
        <x:v>优先级</x:v>
      </x:c>
      <x:c r="O3" s="4" t="str">
        <x:v>备注</x:v>
      </x:c>
    </x:row>
    <x:row r="4">
      <x:c r="A4" s="5" t="str">
        <x:v>L-001</x:v>
      </x:c>
      <x:c r="B4" s="5" t="str">
        <x:v>示例：Brazil Agri Dealer</x:v>
      </x:c>
      <x:c r="C4" s="5" t="str">
        <x:v>巴西</x:v>
      </x:c>
      <x:c r="D4" s="5" t="str">
        <x:v>经销商</x:v>
      </x:c>
      <x:c r="E4" s="5" t="str">
        <x:v>30L 农用无人机</x:v>
      </x:c>
      <x:c r="F4" s="5" t="str">
        <x:v>LinkedIn</x:v>
      </x:c>
      <x:c r="G4" s="5" t="str">
        <x:v>WhatsApp/Email 待补充</x:v>
      </x:c>
      <x:c r="H4" s="11" t="n">
        <x:v>46185</x:v>
      </x:c>
      <x:c r="I4" s="5" t="str">
        <x:v>新线索</x:v>
      </x:c>
      <x:c r="J4" s="13" t="n">
        <x:v>5000</x:v>
      </x:c>
      <x:c r="K4" s="5" t="str">
        <x:v>想比较喷洒效率和备件成本</x:v>
      </x:c>
      <x:c r="L4" s="5" t="str">
        <x:v>发送产品参数和报价</x:v>
      </x:c>
      <x:c r="M4" s="11" t="n">
        <x:v>46187</x:v>
      </x:c>
      <x:c r="N4" s="5" t="str">
        <x:v>高</x:v>
      </x:c>
      <x:c r="O4" s="5" t="str">
        <x:v>示例数据，可替换</x:v>
      </x:c>
    </x:row>
    <x:row r="5">
      <x:c r="A5" s="5" t="str">
        <x:v>L-002</x:v>
      </x:c>
      <x:c r="B5" s="5" t="str">
        <x:v>示例：US FPV Store</x:v>
      </x:c>
      <x:c r="C5" s="5" t="str">
        <x:v>美国</x:v>
      </x:c>
      <x:c r="D5" s="5" t="str">
        <x:v>经销商</x:v>
      </x:c>
      <x:c r="E5" s="5" t="str">
        <x:v>FPV套装、螺旋桨</x:v>
      </x:c>
      <x:c r="F5" s="5" t="str">
        <x:v>Google</x:v>
      </x:c>
      <x:c r="G5" s="5" t="str">
        <x:v>Email 待补充</x:v>
      </x:c>
      <x:c r="H5" s="11" t="n">
        <x:v>46186</x:v>
      </x:c>
      <x:c r="I5" s="5" t="str">
        <x:v>已联系</x:v>
      </x:c>
      <x:c r="J5" s="13" t="n">
        <x:v>1200</x:v>
      </x:c>
      <x:c r="K5" s="5" t="str">
        <x:v>需要稳定供货和小批量测试</x:v>
      </x:c>
      <x:c r="L5" s="5" t="str">
        <x:v>确认MOQ和样品价</x:v>
      </x:c>
      <x:c r="M5" s="11" t="n">
        <x:v>46189</x:v>
      </x:c>
      <x:c r="N5" s="5" t="str">
        <x:v>中</x:v>
      </x:c>
      <x:c r="O5" s="5" t="str">
        <x:v>示例数据，可替换</x:v>
      </x:c>
    </x:row>
    <x:row r="6">
      <x:c r="H6" s="12"/>
      <x:c r="J6" s="14"/>
      <x:c r="M6" s="12"/>
    </x:row>
    <x:row r="7">
      <x:c r="H7" s="12"/>
      <x:c r="J7" s="14"/>
      <x:c r="M7" s="12"/>
    </x:row>
    <x:row r="8">
      <x:c r="H8" s="12"/>
      <x:c r="J8" s="14"/>
      <x:c r="M8" s="12"/>
    </x:row>
    <x:row r="9">
      <x:c r="H9" s="12"/>
      <x:c r="J9" s="14"/>
      <x:c r="M9" s="12"/>
    </x:row>
    <x:row r="10">
      <x:c r="H10" s="12"/>
      <x:c r="J10" s="14"/>
      <x:c r="M10" s="12"/>
    </x:row>
    <x:row r="11">
      <x:c r="H11" s="12"/>
      <x:c r="J11" s="14"/>
      <x:c r="M11" s="12"/>
    </x:row>
    <x:row r="12">
      <x:c r="H12" s="12"/>
      <x:c r="J12" s="14"/>
      <x:c r="M12" s="12"/>
    </x:row>
    <x:row r="13">
      <x:c r="H13" s="12"/>
      <x:c r="J13" s="14"/>
      <x:c r="M13" s="12"/>
    </x:row>
    <x:row r="14">
      <x:c r="H14" s="12"/>
      <x:c r="J14" s="14"/>
      <x:c r="M14" s="12"/>
    </x:row>
    <x:row r="15">
      <x:c r="H15" s="12"/>
      <x:c r="J15" s="14"/>
      <x:c r="M15" s="12"/>
    </x:row>
    <x:row r="16">
      <x:c r="H16" s="12"/>
      <x:c r="J16" s="14"/>
      <x:c r="M16" s="12"/>
    </x:row>
    <x:row r="17">
      <x:c r="H17" s="12"/>
      <x:c r="J17" s="14"/>
      <x:c r="M17" s="12"/>
    </x:row>
    <x:row r="18">
      <x:c r="H18" s="12"/>
      <x:c r="J18" s="14"/>
      <x:c r="M18" s="12"/>
    </x:row>
    <x:row r="19">
      <x:c r="H19" s="12"/>
      <x:c r="J19" s="14"/>
      <x:c r="M19" s="12"/>
    </x:row>
    <x:row r="20">
      <x:c r="H20" s="12"/>
      <x:c r="J20" s="14"/>
      <x:c r="M20" s="12"/>
    </x:row>
    <x:row r="21">
      <x:c r="H21" s="12"/>
      <x:c r="J21" s="14"/>
      <x:c r="M21" s="12"/>
    </x:row>
    <x:row r="22">
      <x:c r="H22" s="12"/>
      <x:c r="J22" s="14"/>
      <x:c r="M22" s="12"/>
    </x:row>
    <x:row r="23">
      <x:c r="H23" s="12"/>
      <x:c r="J23" s="14"/>
      <x:c r="M23" s="12"/>
    </x:row>
    <x:row r="24">
      <x:c r="H24" s="12"/>
      <x:c r="J24" s="14"/>
      <x:c r="M24" s="12"/>
    </x:row>
    <x:row r="25">
      <x:c r="H25" s="12"/>
      <x:c r="J25" s="14"/>
      <x:c r="M25" s="12"/>
    </x:row>
    <x:row r="26">
      <x:c r="H26" s="12"/>
      <x:c r="J26" s="14"/>
      <x:c r="M26" s="12"/>
    </x:row>
    <x:row r="27">
      <x:c r="H27" s="12"/>
      <x:c r="J27" s="14"/>
      <x:c r="M27" s="12"/>
    </x:row>
    <x:row r="28">
      <x:c r="H28" s="12"/>
      <x:c r="J28" s="14"/>
      <x:c r="M28" s="12"/>
    </x:row>
    <x:row r="29">
      <x:c r="H29" s="12"/>
      <x:c r="J29" s="14"/>
      <x:c r="M29" s="12"/>
    </x:row>
    <x:row r="30">
      <x:c r="H30" s="12"/>
      <x:c r="J30" s="14"/>
      <x:c r="M30" s="12"/>
    </x:row>
    <x:row r="31">
      <x:c r="H31" s="12"/>
      <x:c r="J31" s="14"/>
      <x:c r="M31" s="12"/>
    </x:row>
    <x:row r="32">
      <x:c r="H32" s="12"/>
      <x:c r="J32" s="14"/>
      <x:c r="M32" s="12"/>
    </x:row>
    <x:row r="33">
      <x:c r="H33" s="12"/>
      <x:c r="J33" s="14"/>
      <x:c r="M33" s="12"/>
    </x:row>
    <x:row r="34">
      <x:c r="H34" s="12"/>
      <x:c r="J34" s="14"/>
      <x:c r="M34" s="12"/>
    </x:row>
    <x:row r="35">
      <x:c r="H35" s="12"/>
      <x:c r="J35" s="14"/>
      <x:c r="M35" s="12"/>
    </x:row>
    <x:row r="36">
      <x:c r="H36" s="12"/>
      <x:c r="J36" s="14"/>
      <x:c r="M36" s="12"/>
    </x:row>
    <x:row r="37">
      <x:c r="H37" s="12"/>
      <x:c r="J37" s="14"/>
      <x:c r="M37" s="12"/>
    </x:row>
    <x:row r="38">
      <x:c r="H38" s="12"/>
      <x:c r="J38" s="14"/>
      <x:c r="M38" s="12"/>
    </x:row>
    <x:row r="39">
      <x:c r="H39" s="12"/>
      <x:c r="J39" s="14"/>
      <x:c r="M39" s="12"/>
    </x:row>
    <x:row r="40">
      <x:c r="H40" s="12"/>
      <x:c r="J40" s="14"/>
      <x:c r="M40" s="12"/>
    </x:row>
    <x:row r="41">
      <x:c r="H41" s="12"/>
      <x:c r="J41" s="14"/>
      <x:c r="M41" s="12"/>
    </x:row>
    <x:row r="42">
      <x:c r="H42" s="12"/>
      <x:c r="J42" s="14"/>
      <x:c r="M42" s="12"/>
    </x:row>
    <x:row r="43">
      <x:c r="H43" s="12"/>
      <x:c r="J43" s="14"/>
      <x:c r="M43" s="12"/>
    </x:row>
    <x:row r="44">
      <x:c r="H44" s="12"/>
      <x:c r="J44" s="14"/>
      <x:c r="M44" s="12"/>
    </x:row>
    <x:row r="45">
      <x:c r="H45" s="12"/>
      <x:c r="J45" s="14"/>
      <x:c r="M45" s="12"/>
    </x:row>
    <x:row r="46">
      <x:c r="H46" s="12"/>
      <x:c r="J46" s="14"/>
      <x:c r="M46" s="12"/>
    </x:row>
    <x:row r="47">
      <x:c r="H47" s="12"/>
      <x:c r="J47" s="14"/>
      <x:c r="M47" s="12"/>
    </x:row>
    <x:row r="48">
      <x:c r="H48" s="12"/>
      <x:c r="J48" s="14"/>
      <x:c r="M48" s="12"/>
    </x:row>
    <x:row r="49">
      <x:c r="H49" s="12"/>
      <x:c r="J49" s="14"/>
      <x:c r="M49" s="12"/>
    </x:row>
    <x:row r="50">
      <x:c r="H50" s="12"/>
      <x:c r="J50" s="14"/>
      <x:c r="M50" s="12"/>
    </x:row>
    <x:row r="51">
      <x:c r="H51" s="12"/>
      <x:c r="J51" s="14"/>
      <x:c r="M51" s="12"/>
    </x:row>
    <x:row r="52">
      <x:c r="H52" s="12"/>
      <x:c r="J52" s="14"/>
      <x:c r="M52" s="12"/>
    </x:row>
    <x:row r="53">
      <x:c r="H53" s="12"/>
      <x:c r="J53" s="14"/>
      <x:c r="M53" s="12"/>
    </x:row>
    <x:row r="54">
      <x:c r="H54" s="12"/>
      <x:c r="J54" s="14"/>
      <x:c r="M54" s="12"/>
    </x:row>
    <x:row r="55">
      <x:c r="H55" s="12"/>
      <x:c r="J55" s="14"/>
      <x:c r="M55" s="12"/>
    </x:row>
    <x:row r="56">
      <x:c r="H56" s="12"/>
      <x:c r="J56" s="14"/>
      <x:c r="M56" s="12"/>
    </x:row>
    <x:row r="57">
      <x:c r="H57" s="12"/>
      <x:c r="J57" s="14"/>
      <x:c r="M57" s="12"/>
    </x:row>
    <x:row r="58">
      <x:c r="H58" s="12"/>
      <x:c r="J58" s="14"/>
      <x:c r="M58" s="12"/>
    </x:row>
    <x:row r="59">
      <x:c r="H59" s="12"/>
      <x:c r="J59" s="14"/>
      <x:c r="M59" s="12"/>
    </x:row>
    <x:row r="60">
      <x:c r="H60" s="12"/>
      <x:c r="J60" s="14"/>
      <x:c r="M60" s="12"/>
    </x:row>
    <x:row r="61">
      <x:c r="H61" s="12"/>
      <x:c r="J61" s="14"/>
      <x:c r="M61" s="12"/>
    </x:row>
    <x:row r="62">
      <x:c r="H62" s="12"/>
      <x:c r="J62" s="14"/>
      <x:c r="M62" s="12"/>
    </x:row>
    <x:row r="63">
      <x:c r="H63" s="12"/>
      <x:c r="J63" s="14"/>
      <x:c r="M63" s="12"/>
    </x:row>
    <x:row r="64">
      <x:c r="H64" s="12"/>
      <x:c r="J64" s="14"/>
      <x:c r="M64" s="12"/>
    </x:row>
    <x:row r="65">
      <x:c r="H65" s="12"/>
      <x:c r="J65" s="14"/>
      <x:c r="M65" s="12"/>
    </x:row>
    <x:row r="66">
      <x:c r="H66" s="12"/>
      <x:c r="J66" s="14"/>
      <x:c r="M66" s="12"/>
    </x:row>
    <x:row r="67">
      <x:c r="H67" s="12"/>
      <x:c r="J67" s="14"/>
      <x:c r="M67" s="12"/>
    </x:row>
    <x:row r="68">
      <x:c r="H68" s="12"/>
      <x:c r="J68" s="14"/>
      <x:c r="M68" s="12"/>
    </x:row>
    <x:row r="69">
      <x:c r="H69" s="12"/>
      <x:c r="J69" s="14"/>
      <x:c r="M69" s="12"/>
    </x:row>
    <x:row r="70">
      <x:c r="H70" s="12"/>
      <x:c r="J70" s="14"/>
      <x:c r="M70" s="12"/>
    </x:row>
    <x:row r="71">
      <x:c r="H71" s="12"/>
      <x:c r="J71" s="14"/>
      <x:c r="M71" s="12"/>
    </x:row>
    <x:row r="72">
      <x:c r="H72" s="12"/>
      <x:c r="J72" s="14"/>
      <x:c r="M72" s="12"/>
    </x:row>
    <x:row r="73">
      <x:c r="H73" s="12"/>
      <x:c r="J73" s="14"/>
      <x:c r="M73" s="12"/>
    </x:row>
    <x:row r="74">
      <x:c r="H74" s="12"/>
      <x:c r="J74" s="14"/>
      <x:c r="M74" s="12"/>
    </x:row>
    <x:row r="75">
      <x:c r="H75" s="12"/>
      <x:c r="J75" s="14"/>
      <x:c r="M75" s="12"/>
    </x:row>
    <x:row r="76">
      <x:c r="H76" s="12"/>
      <x:c r="J76" s="14"/>
      <x:c r="M76" s="12"/>
    </x:row>
    <x:row r="77">
      <x:c r="H77" s="12"/>
      <x:c r="J77" s="14"/>
      <x:c r="M77" s="12"/>
    </x:row>
    <x:row r="78">
      <x:c r="H78" s="12"/>
      <x:c r="J78" s="14"/>
      <x:c r="M78" s="12"/>
    </x:row>
    <x:row r="79">
      <x:c r="H79" s="12"/>
      <x:c r="J79" s="14"/>
      <x:c r="M79" s="12"/>
    </x:row>
    <x:row r="80">
      <x:c r="H80" s="12"/>
      <x:c r="J80" s="14"/>
      <x:c r="M80" s="12"/>
    </x:row>
    <x:row r="81">
      <x:c r="H81" s="12"/>
      <x:c r="J81" s="14"/>
      <x:c r="M81" s="12"/>
    </x:row>
    <x:row r="82">
      <x:c r="H82" s="12"/>
      <x:c r="J82" s="14"/>
      <x:c r="M82" s="12"/>
    </x:row>
    <x:row r="83">
      <x:c r="H83" s="12"/>
      <x:c r="J83" s="14"/>
      <x:c r="M83" s="12"/>
    </x:row>
    <x:row r="84">
      <x:c r="H84" s="12"/>
      <x:c r="J84" s="14"/>
      <x:c r="M84" s="12"/>
    </x:row>
    <x:row r="85">
      <x:c r="H85" s="12"/>
      <x:c r="J85" s="14"/>
      <x:c r="M85" s="12"/>
    </x:row>
    <x:row r="86">
      <x:c r="H86" s="12"/>
      <x:c r="J86" s="14"/>
      <x:c r="M86" s="12"/>
    </x:row>
    <x:row r="87">
      <x:c r="H87" s="12"/>
      <x:c r="J87" s="14"/>
      <x:c r="M87" s="12"/>
    </x:row>
    <x:row r="88">
      <x:c r="H88" s="12"/>
      <x:c r="J88" s="14"/>
      <x:c r="M88" s="12"/>
    </x:row>
    <x:row r="89">
      <x:c r="H89" s="12"/>
      <x:c r="J89" s="14"/>
      <x:c r="M89" s="12"/>
    </x:row>
    <x:row r="90">
      <x:c r="H90" s="12"/>
      <x:c r="J90" s="14"/>
      <x:c r="M90" s="12"/>
    </x:row>
    <x:row r="91">
      <x:c r="H91" s="12"/>
      <x:c r="J91" s="14"/>
      <x:c r="M91" s="12"/>
    </x:row>
    <x:row r="92">
      <x:c r="H92" s="12"/>
      <x:c r="J92" s="14"/>
      <x:c r="M92" s="12"/>
    </x:row>
    <x:row r="93">
      <x:c r="H93" s="12"/>
      <x:c r="J93" s="14"/>
      <x:c r="M93" s="12"/>
    </x:row>
    <x:row r="94">
      <x:c r="H94" s="12"/>
      <x:c r="J94" s="14"/>
      <x:c r="M94" s="12"/>
    </x:row>
    <x:row r="95">
      <x:c r="H95" s="12"/>
      <x:c r="J95" s="14"/>
      <x:c r="M95" s="12"/>
    </x:row>
    <x:row r="96">
      <x:c r="H96" s="12"/>
      <x:c r="J96" s="14"/>
      <x:c r="M96" s="12"/>
    </x:row>
    <x:row r="97">
      <x:c r="H97" s="12"/>
      <x:c r="J97" s="14"/>
      <x:c r="M97" s="12"/>
    </x:row>
    <x:row r="98">
      <x:c r="H98" s="12"/>
      <x:c r="J98" s="14"/>
      <x:c r="M98" s="12"/>
    </x:row>
    <x:row r="99">
      <x:c r="H99" s="12"/>
      <x:c r="J99" s="14"/>
      <x:c r="M99" s="12"/>
    </x:row>
    <x:row r="100">
      <x:c r="H100" s="12"/>
      <x:c r="J100" s="14"/>
      <x:c r="M100" s="12"/>
    </x:row>
    <x:row r="101">
      <x:c r="H101" s="12"/>
      <x:c r="J101" s="14"/>
      <x:c r="M101" s="12"/>
    </x:row>
    <x:row r="102">
      <x:c r="H102" s="12"/>
      <x:c r="J102" s="14"/>
      <x:c r="M102" s="12"/>
    </x:row>
    <x:row r="103">
      <x:c r="H103" s="12"/>
      <x:c r="J103" s="14"/>
      <x:c r="M103" s="12"/>
    </x:row>
    <x:row r="104">
      <x:c r="H104" s="12"/>
      <x:c r="J104" s="14"/>
      <x:c r="M104" s="12"/>
    </x:row>
    <x:row r="105">
      <x:c r="H105" s="12"/>
      <x:c r="J105" s="14"/>
      <x:c r="M105" s="12"/>
    </x:row>
    <x:row r="106">
      <x:c r="H106" s="12"/>
      <x:c r="J106" s="14"/>
      <x:c r="M106" s="12"/>
    </x:row>
    <x:row r="107">
      <x:c r="H107" s="12"/>
      <x:c r="J107" s="14"/>
      <x:c r="M107" s="12"/>
    </x:row>
    <x:row r="108">
      <x:c r="H108" s="12"/>
      <x:c r="J108" s="14"/>
      <x:c r="M108" s="12"/>
    </x:row>
    <x:row r="109">
      <x:c r="H109" s="12"/>
      <x:c r="J109" s="14"/>
      <x:c r="M109" s="12"/>
    </x:row>
    <x:row r="110">
      <x:c r="H110" s="12"/>
      <x:c r="J110" s="14"/>
      <x:c r="M110" s="12"/>
    </x:row>
    <x:row r="111">
      <x:c r="H111" s="12"/>
      <x:c r="J111" s="14"/>
      <x:c r="M111" s="12"/>
    </x:row>
    <x:row r="112">
      <x:c r="H112" s="12"/>
      <x:c r="J112" s="14"/>
      <x:c r="M112" s="12"/>
    </x:row>
    <x:row r="113">
      <x:c r="H113" s="12"/>
      <x:c r="J113" s="14"/>
      <x:c r="M113" s="12"/>
    </x:row>
    <x:row r="114">
      <x:c r="H114" s="12"/>
      <x:c r="J114" s="14"/>
      <x:c r="M114" s="12"/>
    </x:row>
    <x:row r="115">
      <x:c r="H115" s="12"/>
      <x:c r="J115" s="14"/>
      <x:c r="M115" s="12"/>
    </x:row>
    <x:row r="116">
      <x:c r="H116" s="12"/>
      <x:c r="J116" s="14"/>
      <x:c r="M116" s="12"/>
    </x:row>
    <x:row r="117">
      <x:c r="H117" s="12"/>
      <x:c r="J117" s="14"/>
      <x:c r="M117" s="12"/>
    </x:row>
    <x:row r="118">
      <x:c r="H118" s="12"/>
      <x:c r="J118" s="14"/>
      <x:c r="M118" s="12"/>
    </x:row>
    <x:row r="119">
      <x:c r="H119" s="12"/>
      <x:c r="J119" s="14"/>
      <x:c r="M119" s="12"/>
    </x:row>
    <x:row r="120">
      <x:c r="H120" s="12"/>
      <x:c r="J120" s="14"/>
      <x:c r="M120" s="12"/>
    </x:row>
    <x:row r="121">
      <x:c r="H121" s="12"/>
      <x:c r="J121" s="14"/>
      <x:c r="M121" s="12"/>
    </x:row>
    <x:row r="122">
      <x:c r="H122" s="12"/>
      <x:c r="J122" s="14"/>
      <x:c r="M122" s="12"/>
    </x:row>
    <x:row r="123">
      <x:c r="H123" s="12"/>
      <x:c r="J123" s="14"/>
      <x:c r="M123" s="12"/>
    </x:row>
    <x:row r="124">
      <x:c r="H124" s="12"/>
      <x:c r="J124" s="14"/>
      <x:c r="M124" s="12"/>
    </x:row>
    <x:row r="125">
      <x:c r="H125" s="12"/>
      <x:c r="J125" s="14"/>
      <x:c r="M125" s="12"/>
    </x:row>
    <x:row r="126">
      <x:c r="H126" s="12"/>
      <x:c r="J126" s="14"/>
      <x:c r="M126" s="12"/>
    </x:row>
    <x:row r="127">
      <x:c r="H127" s="12"/>
      <x:c r="J127" s="14"/>
      <x:c r="M127" s="12"/>
    </x:row>
    <x:row r="128">
      <x:c r="H128" s="12"/>
      <x:c r="J128" s="14"/>
      <x:c r="M128" s="12"/>
    </x:row>
    <x:row r="129">
      <x:c r="H129" s="12"/>
      <x:c r="J129" s="14"/>
      <x:c r="M129" s="12"/>
    </x:row>
    <x:row r="130">
      <x:c r="H130" s="12"/>
      <x:c r="J130" s="14"/>
      <x:c r="M130" s="12"/>
    </x:row>
    <x:row r="131">
      <x:c r="H131" s="12"/>
      <x:c r="J131" s="14"/>
      <x:c r="M131" s="12"/>
    </x:row>
    <x:row r="132">
      <x:c r="H132" s="12"/>
      <x:c r="J132" s="14"/>
      <x:c r="M132" s="12"/>
    </x:row>
    <x:row r="133">
      <x:c r="H133" s="12"/>
      <x:c r="J133" s="14"/>
      <x:c r="M133" s="12"/>
    </x:row>
    <x:row r="134">
      <x:c r="H134" s="12"/>
      <x:c r="J134" s="14"/>
      <x:c r="M134" s="12"/>
    </x:row>
    <x:row r="135">
      <x:c r="H135" s="12"/>
      <x:c r="J135" s="14"/>
      <x:c r="M135" s="12"/>
    </x:row>
    <x:row r="136">
      <x:c r="H136" s="12"/>
      <x:c r="J136" s="14"/>
      <x:c r="M136" s="12"/>
    </x:row>
    <x:row r="137">
      <x:c r="H137" s="12"/>
      <x:c r="J137" s="14"/>
      <x:c r="M137" s="12"/>
    </x:row>
    <x:row r="138">
      <x:c r="H138" s="12"/>
      <x:c r="J138" s="14"/>
      <x:c r="M138" s="12"/>
    </x:row>
    <x:row r="139">
      <x:c r="H139" s="12"/>
      <x:c r="J139" s="14"/>
      <x:c r="M139" s="12"/>
    </x:row>
    <x:row r="140">
      <x:c r="H140" s="12"/>
      <x:c r="J140" s="14"/>
      <x:c r="M140" s="12"/>
    </x:row>
    <x:row r="141">
      <x:c r="H141" s="12"/>
      <x:c r="J141" s="14"/>
      <x:c r="M141" s="12"/>
    </x:row>
    <x:row r="142">
      <x:c r="H142" s="12"/>
      <x:c r="J142" s="14"/>
      <x:c r="M142" s="12"/>
    </x:row>
    <x:row r="143">
      <x:c r="H143" s="12"/>
      <x:c r="J143" s="14"/>
      <x:c r="M143" s="12"/>
    </x:row>
    <x:row r="144">
      <x:c r="H144" s="12"/>
      <x:c r="J144" s="14"/>
      <x:c r="M144" s="12"/>
    </x:row>
    <x:row r="145">
      <x:c r="H145" s="12"/>
      <x:c r="J145" s="14"/>
      <x:c r="M145" s="12"/>
    </x:row>
    <x:row r="146">
      <x:c r="H146" s="12"/>
      <x:c r="J146" s="14"/>
      <x:c r="M146" s="12"/>
    </x:row>
    <x:row r="147">
      <x:c r="H147" s="12"/>
      <x:c r="J147" s="14"/>
      <x:c r="M147" s="12"/>
    </x:row>
    <x:row r="148">
      <x:c r="H148" s="12"/>
      <x:c r="J148" s="14"/>
      <x:c r="M148" s="12"/>
    </x:row>
    <x:row r="149">
      <x:c r="H149" s="12"/>
      <x:c r="J149" s="14"/>
      <x:c r="M149" s="12"/>
    </x:row>
    <x:row r="150">
      <x:c r="H150" s="12"/>
      <x:c r="J150" s="14"/>
      <x:c r="M150" s="12"/>
    </x:row>
    <x:row r="151">
      <x:c r="H151" s="12"/>
      <x:c r="J151" s="14"/>
      <x:c r="M151" s="12"/>
    </x:row>
    <x:row r="152">
      <x:c r="H152" s="12"/>
      <x:c r="J152" s="14"/>
      <x:c r="M152" s="12"/>
    </x:row>
    <x:row r="153">
      <x:c r="H153" s="12"/>
      <x:c r="J153" s="14"/>
      <x:c r="M153" s="12"/>
    </x:row>
    <x:row r="154">
      <x:c r="H154" s="12"/>
      <x:c r="J154" s="14"/>
      <x:c r="M154" s="12"/>
    </x:row>
    <x:row r="155">
      <x:c r="H155" s="12"/>
      <x:c r="J155" s="14"/>
      <x:c r="M155" s="12"/>
    </x:row>
    <x:row r="156">
      <x:c r="H156" s="12"/>
      <x:c r="J156" s="14"/>
      <x:c r="M156" s="12"/>
    </x:row>
    <x:row r="157">
      <x:c r="H157" s="12"/>
      <x:c r="J157" s="14"/>
      <x:c r="M157" s="12"/>
    </x:row>
    <x:row r="158">
      <x:c r="H158" s="12"/>
      <x:c r="J158" s="14"/>
      <x:c r="M158" s="12"/>
    </x:row>
    <x:row r="159">
      <x:c r="H159" s="12"/>
      <x:c r="J159" s="14"/>
      <x:c r="M159" s="12"/>
    </x:row>
    <x:row r="160">
      <x:c r="H160" s="12"/>
      <x:c r="J160" s="14"/>
      <x:c r="M160" s="12"/>
    </x:row>
    <x:row r="161">
      <x:c r="H161" s="12"/>
      <x:c r="J161" s="14"/>
      <x:c r="M161" s="12"/>
    </x:row>
    <x:row r="162">
      <x:c r="H162" s="12"/>
      <x:c r="J162" s="14"/>
      <x:c r="M162" s="12"/>
    </x:row>
    <x:row r="163">
      <x:c r="H163" s="12"/>
      <x:c r="J163" s="14"/>
      <x:c r="M163" s="12"/>
    </x:row>
    <x:row r="164">
      <x:c r="H164" s="12"/>
      <x:c r="J164" s="14"/>
      <x:c r="M164" s="12"/>
    </x:row>
    <x:row r="165">
      <x:c r="H165" s="12"/>
      <x:c r="J165" s="14"/>
      <x:c r="M165" s="12"/>
    </x:row>
    <x:row r="166">
      <x:c r="H166" s="12"/>
      <x:c r="J166" s="14"/>
      <x:c r="M166" s="12"/>
    </x:row>
    <x:row r="167">
      <x:c r="H167" s="12"/>
      <x:c r="J167" s="14"/>
      <x:c r="M167" s="12"/>
    </x:row>
    <x:row r="168">
      <x:c r="H168" s="12"/>
      <x:c r="J168" s="14"/>
      <x:c r="M168" s="12"/>
    </x:row>
    <x:row r="169">
      <x:c r="H169" s="12"/>
      <x:c r="J169" s="14"/>
      <x:c r="M169" s="12"/>
    </x:row>
    <x:row r="170">
      <x:c r="H170" s="12"/>
      <x:c r="J170" s="14"/>
      <x:c r="M170" s="12"/>
    </x:row>
    <x:row r="171">
      <x:c r="H171" s="12"/>
      <x:c r="J171" s="14"/>
      <x:c r="M171" s="12"/>
    </x:row>
    <x:row r="172">
      <x:c r="H172" s="12"/>
      <x:c r="J172" s="14"/>
      <x:c r="M172" s="12"/>
    </x:row>
    <x:row r="173">
      <x:c r="H173" s="12"/>
      <x:c r="J173" s="14"/>
      <x:c r="M173" s="12"/>
    </x:row>
    <x:row r="174">
      <x:c r="H174" s="12"/>
      <x:c r="J174" s="14"/>
      <x:c r="M174" s="12"/>
    </x:row>
    <x:row r="175">
      <x:c r="H175" s="12"/>
      <x:c r="J175" s="14"/>
      <x:c r="M175" s="12"/>
    </x:row>
    <x:row r="176">
      <x:c r="H176" s="12"/>
      <x:c r="J176" s="14"/>
      <x:c r="M176" s="12"/>
    </x:row>
    <x:row r="177">
      <x:c r="H177" s="12"/>
      <x:c r="J177" s="14"/>
      <x:c r="M177" s="12"/>
    </x:row>
    <x:row r="178">
      <x:c r="H178" s="12"/>
      <x:c r="J178" s="14"/>
      <x:c r="M178" s="12"/>
    </x:row>
    <x:row r="179">
      <x:c r="H179" s="12"/>
      <x:c r="J179" s="14"/>
      <x:c r="M179" s="12"/>
    </x:row>
    <x:row r="180">
      <x:c r="H180" s="12"/>
      <x:c r="J180" s="14"/>
      <x:c r="M180" s="12"/>
    </x:row>
    <x:row r="181">
      <x:c r="H181" s="12"/>
      <x:c r="J181" s="14"/>
      <x:c r="M181" s="12"/>
    </x:row>
    <x:row r="182">
      <x:c r="H182" s="12"/>
      <x:c r="J182" s="14"/>
      <x:c r="M182" s="12"/>
    </x:row>
    <x:row r="183">
      <x:c r="H183" s="12"/>
      <x:c r="J183" s="14"/>
      <x:c r="M183" s="12"/>
    </x:row>
    <x:row r="184">
      <x:c r="H184" s="12"/>
      <x:c r="J184" s="14"/>
      <x:c r="M184" s="12"/>
    </x:row>
    <x:row r="185">
      <x:c r="H185" s="12"/>
      <x:c r="J185" s="14"/>
      <x:c r="M185" s="12"/>
    </x:row>
    <x:row r="186">
      <x:c r="H186" s="12"/>
      <x:c r="J186" s="14"/>
      <x:c r="M186" s="12"/>
    </x:row>
    <x:row r="187">
      <x:c r="H187" s="12"/>
      <x:c r="J187" s="14"/>
      <x:c r="M187" s="12"/>
    </x:row>
    <x:row r="188">
      <x:c r="H188" s="12"/>
      <x:c r="J188" s="14"/>
      <x:c r="M188" s="12"/>
    </x:row>
    <x:row r="189">
      <x:c r="H189" s="12"/>
      <x:c r="J189" s="14"/>
      <x:c r="M189" s="12"/>
    </x:row>
    <x:row r="190">
      <x:c r="H190" s="12"/>
      <x:c r="J190" s="14"/>
      <x:c r="M190" s="12"/>
    </x:row>
    <x:row r="191">
      <x:c r="H191" s="12"/>
      <x:c r="J191" s="14"/>
      <x:c r="M191" s="12"/>
    </x:row>
    <x:row r="192">
      <x:c r="H192" s="12"/>
      <x:c r="J192" s="14"/>
      <x:c r="M192" s="12"/>
    </x:row>
    <x:row r="193">
      <x:c r="H193" s="12"/>
      <x:c r="J193" s="14"/>
      <x:c r="M193" s="12"/>
    </x:row>
    <x:row r="194">
      <x:c r="H194" s="12"/>
      <x:c r="J194" s="14"/>
      <x:c r="M194" s="12"/>
    </x:row>
    <x:row r="195">
      <x:c r="H195" s="12"/>
      <x:c r="J195" s="14"/>
      <x:c r="M195" s="12"/>
    </x:row>
    <x:row r="196">
      <x:c r="H196" s="12"/>
      <x:c r="J196" s="14"/>
      <x:c r="M196" s="12"/>
    </x:row>
    <x:row r="197">
      <x:c r="H197" s="12"/>
      <x:c r="J197" s="14"/>
      <x:c r="M197" s="12"/>
    </x:row>
    <x:row r="198">
      <x:c r="H198" s="12"/>
      <x:c r="J198" s="14"/>
      <x:c r="M198" s="12"/>
    </x:row>
    <x:row r="199">
      <x:c r="H199" s="12"/>
      <x:c r="J199" s="14"/>
      <x:c r="M199" s="12"/>
    </x:row>
    <x:row r="200">
      <x:c r="H200" s="12"/>
      <x:c r="J200" s="14"/>
      <x:c r="M200" s="12"/>
    </x:row>
    <x:row r="201">
      <x:c r="H201" s="12"/>
      <x:c r="J201" s="14"/>
      <x:c r="M201" s="12"/>
    </x:row>
    <x:row r="202">
      <x:c r="H202" s="12"/>
      <x:c r="J202" s="14"/>
      <x:c r="M202" s="12"/>
    </x:row>
    <x:row r="203">
      <x:c r="H203" s="12"/>
      <x:c r="J203" s="14"/>
      <x:c r="M203" s="12"/>
    </x:row>
  </x:sheetData>
  <x:conditionalFormatting sqref="A4:O203">
    <x:cfRule type="expression" dxfId="6" priority="1">
      <x:formula>$M4&lt;TODAY()</x:formula>
    </x:cfRule>
  </x:conditionalFormatting>
  <x:dataValidations count="4">
    <x:dataValidation type="list" sqref="D4:D203">
      <x:formula1>下拉选项!$C$2:$C$7</x:formula1>
    </x:dataValidation>
    <x:dataValidation type="list" sqref="F4:F203">
      <x:formula1>下拉选项!$D$2:$D$8</x:formula1>
    </x:dataValidation>
    <x:dataValidation type="list" sqref="I4:I203">
      <x:formula1>下拉选项!$E$2:$E$8</x:formula1>
    </x:dataValidation>
    <x:dataValidation type="list" sqref="N4:N203">
      <x:formula1>下拉选项!$F$2:$F$4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f3c6ac50e746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11.670000076293945" hidden="0" customWidth="1"/>
    <x:col min="3" max="3" width="8.890000343322754" hidden="0" customWidth="1"/>
    <x:col min="4" max="4" width="8.890000343322754" hidden="0" customWidth="1"/>
    <x:col min="5" max="5" width="19.440000534057617" hidden="0" customWidth="1"/>
    <x:col min="6" max="6" width="7.78000020980835" hidden="0" customWidth="1"/>
    <x:col min="7" max="7" width="7.78000020980835" hidden="0" customWidth="1"/>
    <x:col min="8" max="8" width="12.220000267028809" hidden="0" customWidth="1"/>
    <x:col min="9" max="9" width="12.220000267028809" hidden="0" customWidth="1"/>
    <x:col min="10" max="10" width="12.220000267028809" hidden="0" customWidth="1"/>
    <x:col min="11" max="11" width="10.5600004196167" hidden="0" customWidth="1"/>
    <x:col min="12" max="12" width="10.5600004196167" hidden="0" customWidth="1"/>
    <x:col min="13" max="13" width="8.329999923706055" hidden="0" customWidth="1"/>
    <x:col min="14" max="14" width="10" hidden="0" customWidth="1"/>
  </x:cols>
  <x:sheetData>
    <x:row r="1" ht="25.5" customHeight="1">
      <x:c r="A1" s="7" t="str">
        <x:v>报价&amp;利润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</x:row>
    <x:row r="2" ht="21" customHeight="1">
      <x:c r="A2" s="8" t="str">
        <x:v>录入成本、运费和报价后自动计算总报价和毛利率。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>
      <x:c r="A3" s="4" t="str">
        <x:v>报价ID</x:v>
      </x:c>
      <x:c r="B3" s="4" t="str">
        <x:v>日期</x:v>
      </x:c>
      <x:c r="C3" s="4" t="str">
        <x:v>客户ID</x:v>
      </x:c>
      <x:c r="D3" s="4" t="str">
        <x:v>产品ID</x:v>
      </x:c>
      <x:c r="E3" s="4" t="str">
        <x:v>产品名称</x:v>
      </x:c>
      <x:c r="F3" s="4" t="str">
        <x:v>数量</x:v>
      </x:c>
      <x:c r="G3" s="4" t="str">
        <x:v>币种</x:v>
      </x:c>
      <x:c r="H3" s="4" t="str">
        <x:v>采购成本/件</x:v>
      </x:c>
      <x:c r="I3" s="4" t="str">
        <x:v>包装物流/件</x:v>
      </x:c>
      <x:c r="J3" s="4" t="str">
        <x:v>其他成本/件</x:v>
      </x:c>
      <x:c r="K3" s="4" t="str">
        <x:v>报价/件</x:v>
      </x:c>
      <x:c r="L3" s="4" t="str">
        <x:v>总报价</x:v>
      </x:c>
      <x:c r="M3" s="4" t="str">
        <x:v>毛利率</x:v>
      </x:c>
      <x:c r="N3" s="4" t="str">
        <x:v>报价状态</x:v>
      </x:c>
    </x:row>
    <x:row r="4">
      <x:c r="A4" s="5" t="str">
        <x:v>Q-001</x:v>
      </x:c>
      <x:c r="B4" s="11" t="n">
        <x:v>46187</x:v>
      </x:c>
      <x:c r="C4" s="5" t="str">
        <x:v>L-001</x:v>
      </x:c>
      <x:c r="D4" s="5" t="str">
        <x:v>P-002</x:v>
      </x:c>
      <x:c r="E4" s="5" t="str">
        <x:v>30L 农用喷洒无人机</x:v>
      </x:c>
      <x:c r="F4" s="5" t="n">
        <x:v>1</x:v>
      </x:c>
      <x:c r="G4" s="5" t="str">
        <x:v>USD</x:v>
      </x:c>
      <x:c r="H4" s="9" t="n">
        <x:v>3100</x:v>
      </x:c>
      <x:c r="I4" s="9" t="n">
        <x:v>280</x:v>
      </x:c>
      <x:c r="J4" s="9" t="n">
        <x:v>120</x:v>
      </x:c>
      <x:c r="K4" s="9" t="n">
        <x:v>4200</x:v>
      </x:c>
      <x:c r="L4" s="9" t="n">
        <x:f>IF(F4="","",F4*K4)</x:f>
        <x:v>4200</x:v>
      </x:c>
      <x:c r="M4" s="15" t="n">
        <x:f>IF(K4="","",(K4-H4-I4-J4)/K4)</x:f>
        <x:v>0.16666666666666666</x:v>
      </x:c>
      <x:c r="N4" s="5" t="str">
        <x:v>草稿</x:v>
      </x:c>
    </x:row>
    <x:row r="5">
      <x:c r="A5" s="5" t="str">
        <x:v>Q-002</x:v>
      </x:c>
      <x:c r="B5" s="11" t="n">
        <x:v>46188</x:v>
      </x:c>
      <x:c r="C5" s="5" t="str">
        <x:v>L-002</x:v>
      </x:c>
      <x:c r="D5" s="5" t="str">
        <x:v>P-001</x:v>
      </x:c>
      <x:c r="E5" s="5" t="str">
        <x:v>碳纤维螺旋桨</x:v>
      </x:c>
      <x:c r="F5" s="5" t="n">
        <x:v>100</x:v>
      </x:c>
      <x:c r="G5" s="5" t="str">
        <x:v>USD</x:v>
      </x:c>
      <x:c r="H5" s="9" t="n">
        <x:v>5.8</x:v>
      </x:c>
      <x:c r="I5" s="9" t="n">
        <x:v>0.7</x:v>
      </x:c>
      <x:c r="J5" s="9" t="n">
        <x:v>0.2</x:v>
      </x:c>
      <x:c r="K5" s="9" t="n">
        <x:v>9.5</x:v>
      </x:c>
      <x:c r="L5" s="9" t="str"/>
      <x:c r="M5" s="15" t="str"/>
      <x:c r="N5" s="5" t="str">
        <x:v>草稿</x:v>
      </x:c>
    </x:row>
    <x:row r="6">
      <x:c r="B6" s="12"/>
      <x:c r="H6" s="10"/>
      <x:c r="I6" s="10"/>
      <x:c r="J6" s="10"/>
      <x:c r="K6" s="10"/>
      <x:c r="L6" s="10"/>
      <x:c r="M6" s="16"/>
    </x:row>
    <x:row r="7">
      <x:c r="B7" s="12"/>
      <x:c r="H7" s="10"/>
      <x:c r="I7" s="10"/>
      <x:c r="J7" s="10"/>
      <x:c r="K7" s="10"/>
      <x:c r="L7" s="10"/>
      <x:c r="M7" s="16"/>
    </x:row>
    <x:row r="8">
      <x:c r="B8" s="12"/>
      <x:c r="H8" s="10"/>
      <x:c r="I8" s="10"/>
      <x:c r="J8" s="10"/>
      <x:c r="K8" s="10"/>
      <x:c r="L8" s="10"/>
      <x:c r="M8" s="16"/>
    </x:row>
    <x:row r="9">
      <x:c r="B9" s="12"/>
      <x:c r="H9" s="10"/>
      <x:c r="I9" s="10"/>
      <x:c r="J9" s="10"/>
      <x:c r="K9" s="10"/>
      <x:c r="L9" s="10"/>
      <x:c r="M9" s="16"/>
    </x:row>
    <x:row r="10">
      <x:c r="B10" s="12"/>
      <x:c r="H10" s="10"/>
      <x:c r="I10" s="10"/>
      <x:c r="J10" s="10"/>
      <x:c r="K10" s="10"/>
      <x:c r="L10" s="10"/>
      <x:c r="M10" s="16"/>
    </x:row>
    <x:row r="11">
      <x:c r="B11" s="12"/>
      <x:c r="H11" s="10"/>
      <x:c r="I11" s="10"/>
      <x:c r="J11" s="10"/>
      <x:c r="K11" s="10"/>
      <x:c r="L11" s="10"/>
      <x:c r="M11" s="16"/>
    </x:row>
    <x:row r="12">
      <x:c r="B12" s="12"/>
      <x:c r="H12" s="10"/>
      <x:c r="I12" s="10"/>
      <x:c r="J12" s="10"/>
      <x:c r="K12" s="10"/>
      <x:c r="L12" s="10"/>
      <x:c r="M12" s="16"/>
    </x:row>
    <x:row r="13">
      <x:c r="B13" s="12"/>
      <x:c r="H13" s="10"/>
      <x:c r="I13" s="10"/>
      <x:c r="J13" s="10"/>
      <x:c r="K13" s="10"/>
      <x:c r="L13" s="10"/>
      <x:c r="M13" s="16"/>
    </x:row>
    <x:row r="14">
      <x:c r="B14" s="12"/>
      <x:c r="H14" s="10"/>
      <x:c r="I14" s="10"/>
      <x:c r="J14" s="10"/>
      <x:c r="K14" s="10"/>
      <x:c r="L14" s="10"/>
      <x:c r="M14" s="16"/>
    </x:row>
    <x:row r="15">
      <x:c r="B15" s="12"/>
      <x:c r="H15" s="10"/>
      <x:c r="I15" s="10"/>
      <x:c r="J15" s="10"/>
      <x:c r="K15" s="10"/>
      <x:c r="L15" s="10"/>
      <x:c r="M15" s="16"/>
    </x:row>
    <x:row r="16">
      <x:c r="B16" s="12"/>
      <x:c r="H16" s="10"/>
      <x:c r="I16" s="10"/>
      <x:c r="J16" s="10"/>
      <x:c r="K16" s="10"/>
      <x:c r="L16" s="10"/>
      <x:c r="M16" s="16"/>
    </x:row>
    <x:row r="17">
      <x:c r="B17" s="12"/>
      <x:c r="H17" s="10"/>
      <x:c r="I17" s="10"/>
      <x:c r="J17" s="10"/>
      <x:c r="K17" s="10"/>
      <x:c r="L17" s="10"/>
      <x:c r="M17" s="16"/>
    </x:row>
    <x:row r="18">
      <x:c r="B18" s="12"/>
      <x:c r="H18" s="10"/>
      <x:c r="I18" s="10"/>
      <x:c r="J18" s="10"/>
      <x:c r="K18" s="10"/>
      <x:c r="L18" s="10"/>
      <x:c r="M18" s="16"/>
    </x:row>
    <x:row r="19">
      <x:c r="B19" s="12"/>
      <x:c r="H19" s="10"/>
      <x:c r="I19" s="10"/>
      <x:c r="J19" s="10"/>
      <x:c r="K19" s="10"/>
      <x:c r="L19" s="10"/>
      <x:c r="M19" s="16"/>
    </x:row>
    <x:row r="20">
      <x:c r="B20" s="12"/>
      <x:c r="H20" s="10"/>
      <x:c r="I20" s="10"/>
      <x:c r="J20" s="10"/>
      <x:c r="K20" s="10"/>
      <x:c r="L20" s="10"/>
      <x:c r="M20" s="16"/>
    </x:row>
    <x:row r="21">
      <x:c r="B21" s="12"/>
      <x:c r="H21" s="10"/>
      <x:c r="I21" s="10"/>
      <x:c r="J21" s="10"/>
      <x:c r="K21" s="10"/>
      <x:c r="L21" s="10"/>
      <x:c r="M21" s="16"/>
    </x:row>
    <x:row r="22">
      <x:c r="B22" s="12"/>
      <x:c r="H22" s="10"/>
      <x:c r="I22" s="10"/>
      <x:c r="J22" s="10"/>
      <x:c r="K22" s="10"/>
      <x:c r="L22" s="10"/>
      <x:c r="M22" s="16"/>
    </x:row>
    <x:row r="23">
      <x:c r="B23" s="12"/>
      <x:c r="H23" s="10"/>
      <x:c r="I23" s="10"/>
      <x:c r="J23" s="10"/>
      <x:c r="K23" s="10"/>
      <x:c r="L23" s="10"/>
      <x:c r="M23" s="16"/>
    </x:row>
    <x:row r="24">
      <x:c r="B24" s="12"/>
      <x:c r="H24" s="10"/>
      <x:c r="I24" s="10"/>
      <x:c r="J24" s="10"/>
      <x:c r="K24" s="10"/>
      <x:c r="L24" s="10"/>
      <x:c r="M24" s="16"/>
    </x:row>
    <x:row r="25">
      <x:c r="B25" s="12"/>
      <x:c r="H25" s="10"/>
      <x:c r="I25" s="10"/>
      <x:c r="J25" s="10"/>
      <x:c r="K25" s="10"/>
      <x:c r="L25" s="10"/>
      <x:c r="M25" s="16"/>
    </x:row>
    <x:row r="26">
      <x:c r="B26" s="12"/>
      <x:c r="H26" s="10"/>
      <x:c r="I26" s="10"/>
      <x:c r="J26" s="10"/>
      <x:c r="K26" s="10"/>
      <x:c r="L26" s="10"/>
      <x:c r="M26" s="16"/>
    </x:row>
    <x:row r="27">
      <x:c r="B27" s="12"/>
      <x:c r="H27" s="10"/>
      <x:c r="I27" s="10"/>
      <x:c r="J27" s="10"/>
      <x:c r="K27" s="10"/>
      <x:c r="L27" s="10"/>
      <x:c r="M27" s="16"/>
    </x:row>
    <x:row r="28">
      <x:c r="B28" s="12"/>
      <x:c r="H28" s="10"/>
      <x:c r="I28" s="10"/>
      <x:c r="J28" s="10"/>
      <x:c r="K28" s="10"/>
      <x:c r="L28" s="10"/>
      <x:c r="M28" s="16"/>
    </x:row>
    <x:row r="29">
      <x:c r="B29" s="12"/>
      <x:c r="H29" s="10"/>
      <x:c r="I29" s="10"/>
      <x:c r="J29" s="10"/>
      <x:c r="K29" s="10"/>
      <x:c r="L29" s="10"/>
      <x:c r="M29" s="16"/>
    </x:row>
    <x:row r="30">
      <x:c r="B30" s="12"/>
      <x:c r="H30" s="10"/>
      <x:c r="I30" s="10"/>
      <x:c r="J30" s="10"/>
      <x:c r="K30" s="10"/>
      <x:c r="L30" s="10"/>
      <x:c r="M30" s="16"/>
    </x:row>
    <x:row r="31">
      <x:c r="B31" s="12"/>
      <x:c r="H31" s="10"/>
      <x:c r="I31" s="10"/>
      <x:c r="J31" s="10"/>
      <x:c r="K31" s="10"/>
      <x:c r="L31" s="10"/>
      <x:c r="M31" s="16"/>
    </x:row>
    <x:row r="32">
      <x:c r="B32" s="12"/>
      <x:c r="H32" s="10"/>
      <x:c r="I32" s="10"/>
      <x:c r="J32" s="10"/>
      <x:c r="K32" s="10"/>
      <x:c r="L32" s="10"/>
      <x:c r="M32" s="16"/>
    </x:row>
    <x:row r="33">
      <x:c r="B33" s="12"/>
      <x:c r="H33" s="10"/>
      <x:c r="I33" s="10"/>
      <x:c r="J33" s="10"/>
      <x:c r="K33" s="10"/>
      <x:c r="L33" s="10"/>
      <x:c r="M33" s="16"/>
    </x:row>
    <x:row r="34">
      <x:c r="B34" s="12"/>
      <x:c r="H34" s="10"/>
      <x:c r="I34" s="10"/>
      <x:c r="J34" s="10"/>
      <x:c r="K34" s="10"/>
      <x:c r="L34" s="10"/>
      <x:c r="M34" s="16"/>
    </x:row>
    <x:row r="35">
      <x:c r="B35" s="12"/>
      <x:c r="H35" s="10"/>
      <x:c r="I35" s="10"/>
      <x:c r="J35" s="10"/>
      <x:c r="K35" s="10"/>
      <x:c r="L35" s="10"/>
      <x:c r="M35" s="16"/>
    </x:row>
    <x:row r="36">
      <x:c r="B36" s="12"/>
      <x:c r="H36" s="10"/>
      <x:c r="I36" s="10"/>
      <x:c r="J36" s="10"/>
      <x:c r="K36" s="10"/>
      <x:c r="L36" s="10"/>
      <x:c r="M36" s="16"/>
    </x:row>
    <x:row r="37">
      <x:c r="B37" s="12"/>
      <x:c r="H37" s="10"/>
      <x:c r="I37" s="10"/>
      <x:c r="J37" s="10"/>
      <x:c r="K37" s="10"/>
      <x:c r="L37" s="10"/>
      <x:c r="M37" s="16"/>
    </x:row>
    <x:row r="38">
      <x:c r="B38" s="12"/>
      <x:c r="H38" s="10"/>
      <x:c r="I38" s="10"/>
      <x:c r="J38" s="10"/>
      <x:c r="K38" s="10"/>
      <x:c r="L38" s="10"/>
      <x:c r="M38" s="16"/>
    </x:row>
    <x:row r="39">
      <x:c r="B39" s="12"/>
      <x:c r="H39" s="10"/>
      <x:c r="I39" s="10"/>
      <x:c r="J39" s="10"/>
      <x:c r="K39" s="10"/>
      <x:c r="L39" s="10"/>
      <x:c r="M39" s="16"/>
    </x:row>
    <x:row r="40">
      <x:c r="B40" s="12"/>
      <x:c r="H40" s="10"/>
      <x:c r="I40" s="10"/>
      <x:c r="J40" s="10"/>
      <x:c r="K40" s="10"/>
      <x:c r="L40" s="10"/>
      <x:c r="M40" s="16"/>
    </x:row>
    <x:row r="41">
      <x:c r="B41" s="12"/>
      <x:c r="H41" s="10"/>
      <x:c r="I41" s="10"/>
      <x:c r="J41" s="10"/>
      <x:c r="K41" s="10"/>
      <x:c r="L41" s="10"/>
      <x:c r="M41" s="16"/>
    </x:row>
    <x:row r="42">
      <x:c r="B42" s="12"/>
      <x:c r="H42" s="10"/>
      <x:c r="I42" s="10"/>
      <x:c r="J42" s="10"/>
      <x:c r="K42" s="10"/>
      <x:c r="L42" s="10"/>
      <x:c r="M42" s="16"/>
    </x:row>
    <x:row r="43">
      <x:c r="B43" s="12"/>
      <x:c r="H43" s="10"/>
      <x:c r="I43" s="10"/>
      <x:c r="J43" s="10"/>
      <x:c r="K43" s="10"/>
      <x:c r="L43" s="10"/>
      <x:c r="M43" s="16"/>
    </x:row>
    <x:row r="44">
      <x:c r="B44" s="12"/>
      <x:c r="H44" s="10"/>
      <x:c r="I44" s="10"/>
      <x:c r="J44" s="10"/>
      <x:c r="K44" s="10"/>
      <x:c r="L44" s="10"/>
      <x:c r="M44" s="16"/>
    </x:row>
    <x:row r="45">
      <x:c r="B45" s="12"/>
      <x:c r="H45" s="10"/>
      <x:c r="I45" s="10"/>
      <x:c r="J45" s="10"/>
      <x:c r="K45" s="10"/>
      <x:c r="L45" s="10"/>
      <x:c r="M45" s="16"/>
    </x:row>
    <x:row r="46">
      <x:c r="B46" s="12"/>
      <x:c r="H46" s="10"/>
      <x:c r="I46" s="10"/>
      <x:c r="J46" s="10"/>
      <x:c r="K46" s="10"/>
      <x:c r="L46" s="10"/>
      <x:c r="M46" s="16"/>
    </x:row>
    <x:row r="47">
      <x:c r="B47" s="12"/>
      <x:c r="H47" s="10"/>
      <x:c r="I47" s="10"/>
      <x:c r="J47" s="10"/>
      <x:c r="K47" s="10"/>
      <x:c r="L47" s="10"/>
      <x:c r="M47" s="16"/>
    </x:row>
    <x:row r="48">
      <x:c r="B48" s="12"/>
      <x:c r="H48" s="10"/>
      <x:c r="I48" s="10"/>
      <x:c r="J48" s="10"/>
      <x:c r="K48" s="10"/>
      <x:c r="L48" s="10"/>
      <x:c r="M48" s="16"/>
    </x:row>
    <x:row r="49">
      <x:c r="B49" s="12"/>
      <x:c r="H49" s="10"/>
      <x:c r="I49" s="10"/>
      <x:c r="J49" s="10"/>
      <x:c r="K49" s="10"/>
      <x:c r="L49" s="10"/>
      <x:c r="M49" s="16"/>
    </x:row>
    <x:row r="50">
      <x:c r="B50" s="12"/>
      <x:c r="H50" s="10"/>
      <x:c r="I50" s="10"/>
      <x:c r="J50" s="10"/>
      <x:c r="K50" s="10"/>
      <x:c r="L50" s="10"/>
      <x:c r="M50" s="16"/>
    </x:row>
    <x:row r="51">
      <x:c r="B51" s="12"/>
      <x:c r="H51" s="10"/>
      <x:c r="I51" s="10"/>
      <x:c r="J51" s="10"/>
      <x:c r="K51" s="10"/>
      <x:c r="L51" s="10"/>
      <x:c r="M51" s="16"/>
    </x:row>
    <x:row r="52">
      <x:c r="B52" s="12"/>
      <x:c r="H52" s="10"/>
      <x:c r="I52" s="10"/>
      <x:c r="J52" s="10"/>
      <x:c r="K52" s="10"/>
      <x:c r="L52" s="10"/>
      <x:c r="M52" s="16"/>
    </x:row>
    <x:row r="53">
      <x:c r="B53" s="12"/>
      <x:c r="H53" s="10"/>
      <x:c r="I53" s="10"/>
      <x:c r="J53" s="10"/>
      <x:c r="K53" s="10"/>
      <x:c r="L53" s="10"/>
      <x:c r="M53" s="16"/>
    </x:row>
    <x:row r="54">
      <x:c r="B54" s="12"/>
      <x:c r="H54" s="10"/>
      <x:c r="I54" s="10"/>
      <x:c r="J54" s="10"/>
      <x:c r="K54" s="10"/>
      <x:c r="L54" s="10"/>
      <x:c r="M54" s="16"/>
    </x:row>
    <x:row r="55">
      <x:c r="B55" s="12"/>
      <x:c r="H55" s="10"/>
      <x:c r="I55" s="10"/>
      <x:c r="J55" s="10"/>
      <x:c r="K55" s="10"/>
      <x:c r="L55" s="10"/>
      <x:c r="M55" s="16"/>
    </x:row>
    <x:row r="56">
      <x:c r="B56" s="12"/>
      <x:c r="H56" s="10"/>
      <x:c r="I56" s="10"/>
      <x:c r="J56" s="10"/>
      <x:c r="K56" s="10"/>
      <x:c r="L56" s="10"/>
      <x:c r="M56" s="16"/>
    </x:row>
    <x:row r="57">
      <x:c r="B57" s="12"/>
      <x:c r="H57" s="10"/>
      <x:c r="I57" s="10"/>
      <x:c r="J57" s="10"/>
      <x:c r="K57" s="10"/>
      <x:c r="L57" s="10"/>
      <x:c r="M57" s="16"/>
    </x:row>
    <x:row r="58">
      <x:c r="B58" s="12"/>
      <x:c r="H58" s="10"/>
      <x:c r="I58" s="10"/>
      <x:c r="J58" s="10"/>
      <x:c r="K58" s="10"/>
      <x:c r="L58" s="10"/>
      <x:c r="M58" s="16"/>
    </x:row>
    <x:row r="59">
      <x:c r="B59" s="12"/>
      <x:c r="H59" s="10"/>
      <x:c r="I59" s="10"/>
      <x:c r="J59" s="10"/>
      <x:c r="K59" s="10"/>
      <x:c r="L59" s="10"/>
      <x:c r="M59" s="16"/>
    </x:row>
    <x:row r="60">
      <x:c r="B60" s="12"/>
      <x:c r="H60" s="10"/>
      <x:c r="I60" s="10"/>
      <x:c r="J60" s="10"/>
      <x:c r="K60" s="10"/>
      <x:c r="L60" s="10"/>
      <x:c r="M60" s="16"/>
    </x:row>
    <x:row r="61">
      <x:c r="B61" s="12"/>
      <x:c r="H61" s="10"/>
      <x:c r="I61" s="10"/>
      <x:c r="J61" s="10"/>
      <x:c r="K61" s="10"/>
      <x:c r="L61" s="10"/>
      <x:c r="M61" s="16"/>
    </x:row>
    <x:row r="62">
      <x:c r="B62" s="12"/>
      <x:c r="H62" s="10"/>
      <x:c r="I62" s="10"/>
      <x:c r="J62" s="10"/>
      <x:c r="K62" s="10"/>
      <x:c r="L62" s="10"/>
      <x:c r="M62" s="16"/>
    </x:row>
    <x:row r="63">
      <x:c r="B63" s="12"/>
      <x:c r="H63" s="10"/>
      <x:c r="I63" s="10"/>
      <x:c r="J63" s="10"/>
      <x:c r="K63" s="10"/>
      <x:c r="L63" s="10"/>
      <x:c r="M63" s="16"/>
    </x:row>
    <x:row r="64">
      <x:c r="B64" s="12"/>
      <x:c r="H64" s="10"/>
      <x:c r="I64" s="10"/>
      <x:c r="J64" s="10"/>
      <x:c r="K64" s="10"/>
      <x:c r="L64" s="10"/>
      <x:c r="M64" s="16"/>
    </x:row>
    <x:row r="65">
      <x:c r="B65" s="12"/>
      <x:c r="H65" s="10"/>
      <x:c r="I65" s="10"/>
      <x:c r="J65" s="10"/>
      <x:c r="K65" s="10"/>
      <x:c r="L65" s="10"/>
      <x:c r="M65" s="16"/>
    </x:row>
    <x:row r="66">
      <x:c r="B66" s="12"/>
      <x:c r="H66" s="10"/>
      <x:c r="I66" s="10"/>
      <x:c r="J66" s="10"/>
      <x:c r="K66" s="10"/>
      <x:c r="L66" s="10"/>
      <x:c r="M66" s="16"/>
    </x:row>
    <x:row r="67">
      <x:c r="B67" s="12"/>
      <x:c r="H67" s="10"/>
      <x:c r="I67" s="10"/>
      <x:c r="J67" s="10"/>
      <x:c r="K67" s="10"/>
      <x:c r="L67" s="10"/>
      <x:c r="M67" s="16"/>
    </x:row>
    <x:row r="68">
      <x:c r="B68" s="12"/>
      <x:c r="H68" s="10"/>
      <x:c r="I68" s="10"/>
      <x:c r="J68" s="10"/>
      <x:c r="K68" s="10"/>
      <x:c r="L68" s="10"/>
      <x:c r="M68" s="16"/>
    </x:row>
    <x:row r="69">
      <x:c r="B69" s="12"/>
      <x:c r="H69" s="10"/>
      <x:c r="I69" s="10"/>
      <x:c r="J69" s="10"/>
      <x:c r="K69" s="10"/>
      <x:c r="L69" s="10"/>
      <x:c r="M69" s="16"/>
    </x:row>
    <x:row r="70">
      <x:c r="B70" s="12"/>
      <x:c r="H70" s="10"/>
      <x:c r="I70" s="10"/>
      <x:c r="J70" s="10"/>
      <x:c r="K70" s="10"/>
      <x:c r="L70" s="10"/>
      <x:c r="M70" s="16"/>
    </x:row>
    <x:row r="71">
      <x:c r="B71" s="12"/>
      <x:c r="H71" s="10"/>
      <x:c r="I71" s="10"/>
      <x:c r="J71" s="10"/>
      <x:c r="K71" s="10"/>
      <x:c r="L71" s="10"/>
      <x:c r="M71" s="16"/>
    </x:row>
    <x:row r="72">
      <x:c r="B72" s="12"/>
      <x:c r="H72" s="10"/>
      <x:c r="I72" s="10"/>
      <x:c r="J72" s="10"/>
      <x:c r="K72" s="10"/>
      <x:c r="L72" s="10"/>
      <x:c r="M72" s="16"/>
    </x:row>
    <x:row r="73">
      <x:c r="B73" s="12"/>
      <x:c r="H73" s="10"/>
      <x:c r="I73" s="10"/>
      <x:c r="J73" s="10"/>
      <x:c r="K73" s="10"/>
      <x:c r="L73" s="10"/>
      <x:c r="M73" s="16"/>
    </x:row>
    <x:row r="74">
      <x:c r="B74" s="12"/>
      <x:c r="H74" s="10"/>
      <x:c r="I74" s="10"/>
      <x:c r="J74" s="10"/>
      <x:c r="K74" s="10"/>
      <x:c r="L74" s="10"/>
      <x:c r="M74" s="16"/>
    </x:row>
    <x:row r="75">
      <x:c r="B75" s="12"/>
      <x:c r="H75" s="10"/>
      <x:c r="I75" s="10"/>
      <x:c r="J75" s="10"/>
      <x:c r="K75" s="10"/>
      <x:c r="L75" s="10"/>
      <x:c r="M75" s="16"/>
    </x:row>
    <x:row r="76">
      <x:c r="B76" s="12"/>
      <x:c r="H76" s="10"/>
      <x:c r="I76" s="10"/>
      <x:c r="J76" s="10"/>
      <x:c r="K76" s="10"/>
      <x:c r="L76" s="10"/>
      <x:c r="M76" s="16"/>
    </x:row>
    <x:row r="77">
      <x:c r="B77" s="12"/>
      <x:c r="H77" s="10"/>
      <x:c r="I77" s="10"/>
      <x:c r="J77" s="10"/>
      <x:c r="K77" s="10"/>
      <x:c r="L77" s="10"/>
      <x:c r="M77" s="16"/>
    </x:row>
    <x:row r="78">
      <x:c r="B78" s="12"/>
      <x:c r="H78" s="10"/>
      <x:c r="I78" s="10"/>
      <x:c r="J78" s="10"/>
      <x:c r="K78" s="10"/>
      <x:c r="L78" s="10"/>
      <x:c r="M78" s="16"/>
    </x:row>
    <x:row r="79">
      <x:c r="B79" s="12"/>
      <x:c r="H79" s="10"/>
      <x:c r="I79" s="10"/>
      <x:c r="J79" s="10"/>
      <x:c r="K79" s="10"/>
      <x:c r="L79" s="10"/>
      <x:c r="M79" s="16"/>
    </x:row>
    <x:row r="80">
      <x:c r="B80" s="12"/>
      <x:c r="H80" s="10"/>
      <x:c r="I80" s="10"/>
      <x:c r="J80" s="10"/>
      <x:c r="K80" s="10"/>
      <x:c r="L80" s="10"/>
      <x:c r="M80" s="16"/>
    </x:row>
    <x:row r="81">
      <x:c r="B81" s="12"/>
      <x:c r="H81" s="10"/>
      <x:c r="I81" s="10"/>
      <x:c r="J81" s="10"/>
      <x:c r="K81" s="10"/>
      <x:c r="L81" s="10"/>
      <x:c r="M81" s="16"/>
    </x:row>
    <x:row r="82">
      <x:c r="B82" s="12"/>
      <x:c r="H82" s="10"/>
      <x:c r="I82" s="10"/>
      <x:c r="J82" s="10"/>
      <x:c r="K82" s="10"/>
      <x:c r="L82" s="10"/>
      <x:c r="M82" s="16"/>
    </x:row>
    <x:row r="83">
      <x:c r="B83" s="12"/>
      <x:c r="H83" s="10"/>
      <x:c r="I83" s="10"/>
      <x:c r="J83" s="10"/>
      <x:c r="K83" s="10"/>
      <x:c r="L83" s="10"/>
      <x:c r="M83" s="16"/>
    </x:row>
    <x:row r="84">
      <x:c r="B84" s="12"/>
      <x:c r="H84" s="10"/>
      <x:c r="I84" s="10"/>
      <x:c r="J84" s="10"/>
      <x:c r="K84" s="10"/>
      <x:c r="L84" s="10"/>
      <x:c r="M84" s="16"/>
    </x:row>
    <x:row r="85">
      <x:c r="B85" s="12"/>
      <x:c r="H85" s="10"/>
      <x:c r="I85" s="10"/>
      <x:c r="J85" s="10"/>
      <x:c r="K85" s="10"/>
      <x:c r="L85" s="10"/>
      <x:c r="M85" s="16"/>
    </x:row>
    <x:row r="86">
      <x:c r="B86" s="12"/>
      <x:c r="H86" s="10"/>
      <x:c r="I86" s="10"/>
      <x:c r="J86" s="10"/>
      <x:c r="K86" s="10"/>
      <x:c r="L86" s="10"/>
      <x:c r="M86" s="16"/>
    </x:row>
    <x:row r="87">
      <x:c r="B87" s="12"/>
      <x:c r="H87" s="10"/>
      <x:c r="I87" s="10"/>
      <x:c r="J87" s="10"/>
      <x:c r="K87" s="10"/>
      <x:c r="L87" s="10"/>
      <x:c r="M87" s="16"/>
    </x:row>
    <x:row r="88">
      <x:c r="B88" s="12"/>
      <x:c r="H88" s="10"/>
      <x:c r="I88" s="10"/>
      <x:c r="J88" s="10"/>
      <x:c r="K88" s="10"/>
      <x:c r="L88" s="10"/>
      <x:c r="M88" s="16"/>
    </x:row>
    <x:row r="89">
      <x:c r="B89" s="12"/>
      <x:c r="H89" s="10"/>
      <x:c r="I89" s="10"/>
      <x:c r="J89" s="10"/>
      <x:c r="K89" s="10"/>
      <x:c r="L89" s="10"/>
      <x:c r="M89" s="16"/>
    </x:row>
    <x:row r="90">
      <x:c r="B90" s="12"/>
      <x:c r="H90" s="10"/>
      <x:c r="I90" s="10"/>
      <x:c r="J90" s="10"/>
      <x:c r="K90" s="10"/>
      <x:c r="L90" s="10"/>
      <x:c r="M90" s="16"/>
    </x:row>
    <x:row r="91">
      <x:c r="B91" s="12"/>
      <x:c r="H91" s="10"/>
      <x:c r="I91" s="10"/>
      <x:c r="J91" s="10"/>
      <x:c r="K91" s="10"/>
      <x:c r="L91" s="10"/>
      <x:c r="M91" s="16"/>
    </x:row>
    <x:row r="92">
      <x:c r="B92" s="12"/>
      <x:c r="H92" s="10"/>
      <x:c r="I92" s="10"/>
      <x:c r="J92" s="10"/>
      <x:c r="K92" s="10"/>
      <x:c r="L92" s="10"/>
      <x:c r="M92" s="16"/>
    </x:row>
    <x:row r="93">
      <x:c r="B93" s="12"/>
      <x:c r="H93" s="10"/>
      <x:c r="I93" s="10"/>
      <x:c r="J93" s="10"/>
      <x:c r="K93" s="10"/>
      <x:c r="L93" s="10"/>
      <x:c r="M93" s="16"/>
    </x:row>
    <x:row r="94">
      <x:c r="B94" s="12"/>
      <x:c r="H94" s="10"/>
      <x:c r="I94" s="10"/>
      <x:c r="J94" s="10"/>
      <x:c r="K94" s="10"/>
      <x:c r="L94" s="10"/>
      <x:c r="M94" s="16"/>
    </x:row>
    <x:row r="95">
      <x:c r="B95" s="12"/>
      <x:c r="H95" s="10"/>
      <x:c r="I95" s="10"/>
      <x:c r="J95" s="10"/>
      <x:c r="K95" s="10"/>
      <x:c r="L95" s="10"/>
      <x:c r="M95" s="16"/>
    </x:row>
    <x:row r="96">
      <x:c r="B96" s="12"/>
      <x:c r="H96" s="10"/>
      <x:c r="I96" s="10"/>
      <x:c r="J96" s="10"/>
      <x:c r="K96" s="10"/>
      <x:c r="L96" s="10"/>
      <x:c r="M96" s="16"/>
    </x:row>
    <x:row r="97">
      <x:c r="B97" s="12"/>
      <x:c r="H97" s="10"/>
      <x:c r="I97" s="10"/>
      <x:c r="J97" s="10"/>
      <x:c r="K97" s="10"/>
      <x:c r="L97" s="10"/>
      <x:c r="M97" s="16"/>
    </x:row>
    <x:row r="98">
      <x:c r="B98" s="12"/>
      <x:c r="H98" s="10"/>
      <x:c r="I98" s="10"/>
      <x:c r="J98" s="10"/>
      <x:c r="K98" s="10"/>
      <x:c r="L98" s="10"/>
      <x:c r="M98" s="16"/>
    </x:row>
    <x:row r="99">
      <x:c r="B99" s="12"/>
      <x:c r="H99" s="10"/>
      <x:c r="I99" s="10"/>
      <x:c r="J99" s="10"/>
      <x:c r="K99" s="10"/>
      <x:c r="L99" s="10"/>
      <x:c r="M99" s="16"/>
    </x:row>
    <x:row r="100">
      <x:c r="B100" s="12"/>
      <x:c r="H100" s="10"/>
      <x:c r="I100" s="10"/>
      <x:c r="J100" s="10"/>
      <x:c r="K100" s="10"/>
      <x:c r="L100" s="10"/>
      <x:c r="M100" s="16"/>
    </x:row>
    <x:row r="101">
      <x:c r="B101" s="12"/>
      <x:c r="H101" s="10"/>
      <x:c r="I101" s="10"/>
      <x:c r="J101" s="10"/>
      <x:c r="K101" s="10"/>
      <x:c r="L101" s="10"/>
      <x:c r="M101" s="16"/>
    </x:row>
    <x:row r="102">
      <x:c r="B102" s="12"/>
      <x:c r="H102" s="10"/>
      <x:c r="I102" s="10"/>
      <x:c r="J102" s="10"/>
      <x:c r="K102" s="10"/>
      <x:c r="L102" s="10"/>
      <x:c r="M102" s="16"/>
    </x:row>
    <x:row r="103">
      <x:c r="B103" s="12"/>
      <x:c r="H103" s="10"/>
      <x:c r="I103" s="10"/>
      <x:c r="J103" s="10"/>
      <x:c r="K103" s="10"/>
      <x:c r="L103" s="10"/>
      <x:c r="M103" s="16"/>
    </x:row>
    <x:row r="104">
      <x:c r="B104" s="12"/>
      <x:c r="H104" s="10"/>
      <x:c r="I104" s="10"/>
      <x:c r="J104" s="10"/>
      <x:c r="K104" s="10"/>
      <x:c r="L104" s="10"/>
      <x:c r="M104" s="16"/>
    </x:row>
    <x:row r="105">
      <x:c r="B105" s="12"/>
      <x:c r="H105" s="10"/>
      <x:c r="I105" s="10"/>
      <x:c r="J105" s="10"/>
      <x:c r="K105" s="10"/>
      <x:c r="L105" s="10"/>
      <x:c r="M105" s="16"/>
    </x:row>
    <x:row r="106">
      <x:c r="B106" s="12"/>
      <x:c r="H106" s="10"/>
      <x:c r="I106" s="10"/>
      <x:c r="J106" s="10"/>
      <x:c r="K106" s="10"/>
      <x:c r="L106" s="10"/>
      <x:c r="M106" s="16"/>
    </x:row>
    <x:row r="107">
      <x:c r="B107" s="12"/>
      <x:c r="H107" s="10"/>
      <x:c r="I107" s="10"/>
      <x:c r="J107" s="10"/>
      <x:c r="K107" s="10"/>
      <x:c r="L107" s="10"/>
      <x:c r="M107" s="16"/>
    </x:row>
    <x:row r="108">
      <x:c r="B108" s="12"/>
      <x:c r="H108" s="10"/>
      <x:c r="I108" s="10"/>
      <x:c r="J108" s="10"/>
      <x:c r="K108" s="10"/>
      <x:c r="L108" s="10"/>
      <x:c r="M108" s="16"/>
    </x:row>
    <x:row r="109">
      <x:c r="B109" s="12"/>
      <x:c r="H109" s="10"/>
      <x:c r="I109" s="10"/>
      <x:c r="J109" s="10"/>
      <x:c r="K109" s="10"/>
      <x:c r="L109" s="10"/>
      <x:c r="M109" s="16"/>
    </x:row>
    <x:row r="110">
      <x:c r="B110" s="12"/>
      <x:c r="H110" s="10"/>
      <x:c r="I110" s="10"/>
      <x:c r="J110" s="10"/>
      <x:c r="K110" s="10"/>
      <x:c r="L110" s="10"/>
      <x:c r="M110" s="16"/>
    </x:row>
    <x:row r="111">
      <x:c r="B111" s="12"/>
      <x:c r="H111" s="10"/>
      <x:c r="I111" s="10"/>
      <x:c r="J111" s="10"/>
      <x:c r="K111" s="10"/>
      <x:c r="L111" s="10"/>
      <x:c r="M111" s="16"/>
    </x:row>
    <x:row r="112">
      <x:c r="B112" s="12"/>
      <x:c r="H112" s="10"/>
      <x:c r="I112" s="10"/>
      <x:c r="J112" s="10"/>
      <x:c r="K112" s="10"/>
      <x:c r="L112" s="10"/>
      <x:c r="M112" s="16"/>
    </x:row>
    <x:row r="113">
      <x:c r="B113" s="12"/>
      <x:c r="H113" s="10"/>
      <x:c r="I113" s="10"/>
      <x:c r="J113" s="10"/>
      <x:c r="K113" s="10"/>
      <x:c r="L113" s="10"/>
      <x:c r="M113" s="16"/>
    </x:row>
    <x:row r="114">
      <x:c r="B114" s="12"/>
      <x:c r="H114" s="10"/>
      <x:c r="I114" s="10"/>
      <x:c r="J114" s="10"/>
      <x:c r="K114" s="10"/>
      <x:c r="L114" s="10"/>
      <x:c r="M114" s="16"/>
    </x:row>
    <x:row r="115">
      <x:c r="B115" s="12"/>
      <x:c r="H115" s="10"/>
      <x:c r="I115" s="10"/>
      <x:c r="J115" s="10"/>
      <x:c r="K115" s="10"/>
      <x:c r="L115" s="10"/>
      <x:c r="M115" s="16"/>
    </x:row>
    <x:row r="116">
      <x:c r="B116" s="12"/>
      <x:c r="H116" s="10"/>
      <x:c r="I116" s="10"/>
      <x:c r="J116" s="10"/>
      <x:c r="K116" s="10"/>
      <x:c r="L116" s="10"/>
      <x:c r="M116" s="16"/>
    </x:row>
    <x:row r="117">
      <x:c r="B117" s="12"/>
      <x:c r="H117" s="10"/>
      <x:c r="I117" s="10"/>
      <x:c r="J117" s="10"/>
      <x:c r="K117" s="10"/>
      <x:c r="L117" s="10"/>
      <x:c r="M117" s="16"/>
    </x:row>
    <x:row r="118">
      <x:c r="B118" s="12"/>
      <x:c r="H118" s="10"/>
      <x:c r="I118" s="10"/>
      <x:c r="J118" s="10"/>
      <x:c r="K118" s="10"/>
      <x:c r="L118" s="10"/>
      <x:c r="M118" s="16"/>
    </x:row>
    <x:row r="119">
      <x:c r="B119" s="12"/>
      <x:c r="H119" s="10"/>
      <x:c r="I119" s="10"/>
      <x:c r="J119" s="10"/>
      <x:c r="K119" s="10"/>
      <x:c r="L119" s="10"/>
      <x:c r="M119" s="16"/>
    </x:row>
    <x:row r="120">
      <x:c r="B120" s="12"/>
      <x:c r="H120" s="10"/>
      <x:c r="I120" s="10"/>
      <x:c r="J120" s="10"/>
      <x:c r="K120" s="10"/>
      <x:c r="L120" s="10"/>
      <x:c r="M120" s="16"/>
    </x:row>
    <x:row r="121">
      <x:c r="B121" s="12"/>
      <x:c r="H121" s="10"/>
      <x:c r="I121" s="10"/>
      <x:c r="J121" s="10"/>
      <x:c r="K121" s="10"/>
      <x:c r="L121" s="10"/>
      <x:c r="M121" s="16"/>
    </x:row>
    <x:row r="122">
      <x:c r="B122" s="12"/>
      <x:c r="H122" s="10"/>
      <x:c r="I122" s="10"/>
      <x:c r="J122" s="10"/>
      <x:c r="K122" s="10"/>
      <x:c r="L122" s="10"/>
      <x:c r="M122" s="16"/>
    </x:row>
    <x:row r="123">
      <x:c r="B123" s="12"/>
      <x:c r="H123" s="10"/>
      <x:c r="I123" s="10"/>
      <x:c r="J123" s="10"/>
      <x:c r="K123" s="10"/>
      <x:c r="L123" s="10"/>
      <x:c r="M123" s="16"/>
    </x:row>
    <x:row r="124">
      <x:c r="B124" s="12"/>
      <x:c r="H124" s="10"/>
      <x:c r="I124" s="10"/>
      <x:c r="J124" s="10"/>
      <x:c r="K124" s="10"/>
      <x:c r="L124" s="10"/>
      <x:c r="M124" s="16"/>
    </x:row>
    <x:row r="125">
      <x:c r="B125" s="12"/>
      <x:c r="H125" s="10"/>
      <x:c r="I125" s="10"/>
      <x:c r="J125" s="10"/>
      <x:c r="K125" s="10"/>
      <x:c r="L125" s="10"/>
      <x:c r="M125" s="16"/>
    </x:row>
    <x:row r="126">
      <x:c r="B126" s="12"/>
      <x:c r="H126" s="10"/>
      <x:c r="I126" s="10"/>
      <x:c r="J126" s="10"/>
      <x:c r="K126" s="10"/>
      <x:c r="L126" s="10"/>
      <x:c r="M126" s="16"/>
    </x:row>
    <x:row r="127">
      <x:c r="B127" s="12"/>
      <x:c r="H127" s="10"/>
      <x:c r="I127" s="10"/>
      <x:c r="J127" s="10"/>
      <x:c r="K127" s="10"/>
      <x:c r="L127" s="10"/>
      <x:c r="M127" s="16"/>
    </x:row>
    <x:row r="128">
      <x:c r="B128" s="12"/>
      <x:c r="H128" s="10"/>
      <x:c r="I128" s="10"/>
      <x:c r="J128" s="10"/>
      <x:c r="K128" s="10"/>
      <x:c r="L128" s="10"/>
      <x:c r="M128" s="16"/>
    </x:row>
    <x:row r="129">
      <x:c r="B129" s="12"/>
      <x:c r="H129" s="10"/>
      <x:c r="I129" s="10"/>
      <x:c r="J129" s="10"/>
      <x:c r="K129" s="10"/>
      <x:c r="L129" s="10"/>
      <x:c r="M129" s="16"/>
    </x:row>
    <x:row r="130">
      <x:c r="B130" s="12"/>
      <x:c r="H130" s="10"/>
      <x:c r="I130" s="10"/>
      <x:c r="J130" s="10"/>
      <x:c r="K130" s="10"/>
      <x:c r="L130" s="10"/>
      <x:c r="M130" s="16"/>
    </x:row>
    <x:row r="131">
      <x:c r="B131" s="12"/>
      <x:c r="H131" s="10"/>
      <x:c r="I131" s="10"/>
      <x:c r="J131" s="10"/>
      <x:c r="K131" s="10"/>
      <x:c r="L131" s="10"/>
      <x:c r="M131" s="16"/>
    </x:row>
    <x:row r="132">
      <x:c r="B132" s="12"/>
      <x:c r="H132" s="10"/>
      <x:c r="I132" s="10"/>
      <x:c r="J132" s="10"/>
      <x:c r="K132" s="10"/>
      <x:c r="L132" s="10"/>
      <x:c r="M132" s="16"/>
    </x:row>
    <x:row r="133">
      <x:c r="B133" s="12"/>
      <x:c r="H133" s="10"/>
      <x:c r="I133" s="10"/>
      <x:c r="J133" s="10"/>
      <x:c r="K133" s="10"/>
      <x:c r="L133" s="10"/>
      <x:c r="M133" s="16"/>
    </x:row>
    <x:row r="134">
      <x:c r="B134" s="12"/>
      <x:c r="H134" s="10"/>
      <x:c r="I134" s="10"/>
      <x:c r="J134" s="10"/>
      <x:c r="K134" s="10"/>
      <x:c r="L134" s="10"/>
      <x:c r="M134" s="16"/>
    </x:row>
    <x:row r="135">
      <x:c r="B135" s="12"/>
      <x:c r="H135" s="10"/>
      <x:c r="I135" s="10"/>
      <x:c r="J135" s="10"/>
      <x:c r="K135" s="10"/>
      <x:c r="L135" s="10"/>
      <x:c r="M135" s="16"/>
    </x:row>
    <x:row r="136">
      <x:c r="B136" s="12"/>
      <x:c r="H136" s="10"/>
      <x:c r="I136" s="10"/>
      <x:c r="J136" s="10"/>
      <x:c r="K136" s="10"/>
      <x:c r="L136" s="10"/>
      <x:c r="M136" s="16"/>
    </x:row>
    <x:row r="137">
      <x:c r="B137" s="12"/>
      <x:c r="H137" s="10"/>
      <x:c r="I137" s="10"/>
      <x:c r="J137" s="10"/>
      <x:c r="K137" s="10"/>
      <x:c r="L137" s="10"/>
      <x:c r="M137" s="16"/>
    </x:row>
    <x:row r="138">
      <x:c r="B138" s="12"/>
      <x:c r="H138" s="10"/>
      <x:c r="I138" s="10"/>
      <x:c r="J138" s="10"/>
      <x:c r="K138" s="10"/>
      <x:c r="L138" s="10"/>
      <x:c r="M138" s="16"/>
    </x:row>
    <x:row r="139">
      <x:c r="B139" s="12"/>
      <x:c r="H139" s="10"/>
      <x:c r="I139" s="10"/>
      <x:c r="J139" s="10"/>
      <x:c r="K139" s="10"/>
      <x:c r="L139" s="10"/>
      <x:c r="M139" s="16"/>
    </x:row>
    <x:row r="140">
      <x:c r="B140" s="12"/>
      <x:c r="H140" s="10"/>
      <x:c r="I140" s="10"/>
      <x:c r="J140" s="10"/>
      <x:c r="K140" s="10"/>
      <x:c r="L140" s="10"/>
      <x:c r="M140" s="16"/>
    </x:row>
    <x:row r="141">
      <x:c r="B141" s="12"/>
      <x:c r="H141" s="10"/>
      <x:c r="I141" s="10"/>
      <x:c r="J141" s="10"/>
      <x:c r="K141" s="10"/>
      <x:c r="L141" s="10"/>
      <x:c r="M141" s="16"/>
    </x:row>
    <x:row r="142">
      <x:c r="B142" s="12"/>
      <x:c r="H142" s="10"/>
      <x:c r="I142" s="10"/>
      <x:c r="J142" s="10"/>
      <x:c r="K142" s="10"/>
      <x:c r="L142" s="10"/>
      <x:c r="M142" s="16"/>
    </x:row>
    <x:row r="143">
      <x:c r="B143" s="12"/>
      <x:c r="H143" s="10"/>
      <x:c r="I143" s="10"/>
      <x:c r="J143" s="10"/>
      <x:c r="K143" s="10"/>
      <x:c r="L143" s="10"/>
      <x:c r="M143" s="16"/>
    </x:row>
    <x:row r="144">
      <x:c r="B144" s="12"/>
      <x:c r="H144" s="10"/>
      <x:c r="I144" s="10"/>
      <x:c r="J144" s="10"/>
      <x:c r="K144" s="10"/>
      <x:c r="L144" s="10"/>
      <x:c r="M144" s="16"/>
    </x:row>
    <x:row r="145">
      <x:c r="B145" s="12"/>
      <x:c r="H145" s="10"/>
      <x:c r="I145" s="10"/>
      <x:c r="J145" s="10"/>
      <x:c r="K145" s="10"/>
      <x:c r="L145" s="10"/>
      <x:c r="M145" s="16"/>
    </x:row>
    <x:row r="146">
      <x:c r="B146" s="12"/>
      <x:c r="H146" s="10"/>
      <x:c r="I146" s="10"/>
      <x:c r="J146" s="10"/>
      <x:c r="K146" s="10"/>
      <x:c r="L146" s="10"/>
      <x:c r="M146" s="16"/>
    </x:row>
    <x:row r="147">
      <x:c r="B147" s="12"/>
      <x:c r="H147" s="10"/>
      <x:c r="I147" s="10"/>
      <x:c r="J147" s="10"/>
      <x:c r="K147" s="10"/>
      <x:c r="L147" s="10"/>
      <x:c r="M147" s="16"/>
    </x:row>
    <x:row r="148">
      <x:c r="B148" s="12"/>
      <x:c r="H148" s="10"/>
      <x:c r="I148" s="10"/>
      <x:c r="J148" s="10"/>
      <x:c r="K148" s="10"/>
      <x:c r="L148" s="10"/>
      <x:c r="M148" s="16"/>
    </x:row>
    <x:row r="149">
      <x:c r="B149" s="12"/>
      <x:c r="H149" s="10"/>
      <x:c r="I149" s="10"/>
      <x:c r="J149" s="10"/>
      <x:c r="K149" s="10"/>
      <x:c r="L149" s="10"/>
      <x:c r="M149" s="16"/>
    </x:row>
    <x:row r="150">
      <x:c r="B150" s="12"/>
      <x:c r="H150" s="10"/>
      <x:c r="I150" s="10"/>
      <x:c r="J150" s="10"/>
      <x:c r="K150" s="10"/>
      <x:c r="L150" s="10"/>
      <x:c r="M150" s="16"/>
    </x:row>
    <x:row r="151">
      <x:c r="B151" s="12"/>
      <x:c r="H151" s="10"/>
      <x:c r="I151" s="10"/>
      <x:c r="J151" s="10"/>
      <x:c r="K151" s="10"/>
      <x:c r="L151" s="10"/>
      <x:c r="M151" s="16"/>
    </x:row>
    <x:row r="152">
      <x:c r="B152" s="12"/>
      <x:c r="H152" s="10"/>
      <x:c r="I152" s="10"/>
      <x:c r="J152" s="10"/>
      <x:c r="K152" s="10"/>
      <x:c r="L152" s="10"/>
      <x:c r="M152" s="16"/>
    </x:row>
    <x:row r="153">
      <x:c r="B153" s="12"/>
      <x:c r="H153" s="10"/>
      <x:c r="I153" s="10"/>
      <x:c r="J153" s="10"/>
      <x:c r="K153" s="10"/>
      <x:c r="L153" s="10"/>
      <x:c r="M153" s="16"/>
    </x:row>
    <x:row r="154">
      <x:c r="B154" s="12"/>
      <x:c r="H154" s="10"/>
      <x:c r="I154" s="10"/>
      <x:c r="J154" s="10"/>
      <x:c r="K154" s="10"/>
      <x:c r="L154" s="10"/>
      <x:c r="M154" s="16"/>
    </x:row>
    <x:row r="155">
      <x:c r="B155" s="12"/>
      <x:c r="H155" s="10"/>
      <x:c r="I155" s="10"/>
      <x:c r="J155" s="10"/>
      <x:c r="K155" s="10"/>
      <x:c r="L155" s="10"/>
      <x:c r="M155" s="16"/>
    </x:row>
    <x:row r="156">
      <x:c r="B156" s="12"/>
      <x:c r="H156" s="10"/>
      <x:c r="I156" s="10"/>
      <x:c r="J156" s="10"/>
      <x:c r="K156" s="10"/>
      <x:c r="L156" s="10"/>
      <x:c r="M156" s="16"/>
    </x:row>
    <x:row r="157">
      <x:c r="B157" s="12"/>
      <x:c r="H157" s="10"/>
      <x:c r="I157" s="10"/>
      <x:c r="J157" s="10"/>
      <x:c r="K157" s="10"/>
      <x:c r="L157" s="10"/>
      <x:c r="M157" s="16"/>
    </x:row>
    <x:row r="158">
      <x:c r="B158" s="12"/>
      <x:c r="H158" s="10"/>
      <x:c r="I158" s="10"/>
      <x:c r="J158" s="10"/>
      <x:c r="K158" s="10"/>
      <x:c r="L158" s="10"/>
      <x:c r="M158" s="16"/>
    </x:row>
    <x:row r="159">
      <x:c r="B159" s="12"/>
      <x:c r="H159" s="10"/>
      <x:c r="I159" s="10"/>
      <x:c r="J159" s="10"/>
      <x:c r="K159" s="10"/>
      <x:c r="L159" s="10"/>
      <x:c r="M159" s="16"/>
    </x:row>
    <x:row r="160">
      <x:c r="B160" s="12"/>
      <x:c r="H160" s="10"/>
      <x:c r="I160" s="10"/>
      <x:c r="J160" s="10"/>
      <x:c r="K160" s="10"/>
      <x:c r="L160" s="10"/>
      <x:c r="M160" s="16"/>
    </x:row>
    <x:row r="161">
      <x:c r="B161" s="12"/>
      <x:c r="H161" s="10"/>
      <x:c r="I161" s="10"/>
      <x:c r="J161" s="10"/>
      <x:c r="K161" s="10"/>
      <x:c r="L161" s="10"/>
      <x:c r="M161" s="16"/>
    </x:row>
    <x:row r="162">
      <x:c r="B162" s="12"/>
      <x:c r="H162" s="10"/>
      <x:c r="I162" s="10"/>
      <x:c r="J162" s="10"/>
      <x:c r="K162" s="10"/>
      <x:c r="L162" s="10"/>
      <x:c r="M162" s="16"/>
    </x:row>
    <x:row r="163">
      <x:c r="B163" s="12"/>
      <x:c r="H163" s="10"/>
      <x:c r="I163" s="10"/>
      <x:c r="J163" s="10"/>
      <x:c r="K163" s="10"/>
      <x:c r="L163" s="10"/>
      <x:c r="M163" s="16"/>
    </x:row>
    <x:row r="164">
      <x:c r="B164" s="12"/>
      <x:c r="H164" s="10"/>
      <x:c r="I164" s="10"/>
      <x:c r="J164" s="10"/>
      <x:c r="K164" s="10"/>
      <x:c r="L164" s="10"/>
      <x:c r="M164" s="16"/>
    </x:row>
    <x:row r="165">
      <x:c r="B165" s="12"/>
      <x:c r="H165" s="10"/>
      <x:c r="I165" s="10"/>
      <x:c r="J165" s="10"/>
      <x:c r="K165" s="10"/>
      <x:c r="L165" s="10"/>
      <x:c r="M165" s="16"/>
    </x:row>
    <x:row r="166">
      <x:c r="B166" s="12"/>
      <x:c r="H166" s="10"/>
      <x:c r="I166" s="10"/>
      <x:c r="J166" s="10"/>
      <x:c r="K166" s="10"/>
      <x:c r="L166" s="10"/>
      <x:c r="M166" s="16"/>
    </x:row>
    <x:row r="167">
      <x:c r="B167" s="12"/>
      <x:c r="H167" s="10"/>
      <x:c r="I167" s="10"/>
      <x:c r="J167" s="10"/>
      <x:c r="K167" s="10"/>
      <x:c r="L167" s="10"/>
      <x:c r="M167" s="16"/>
    </x:row>
    <x:row r="168">
      <x:c r="B168" s="12"/>
      <x:c r="H168" s="10"/>
      <x:c r="I168" s="10"/>
      <x:c r="J168" s="10"/>
      <x:c r="K168" s="10"/>
      <x:c r="L168" s="10"/>
      <x:c r="M168" s="16"/>
    </x:row>
    <x:row r="169">
      <x:c r="B169" s="12"/>
      <x:c r="H169" s="10"/>
      <x:c r="I169" s="10"/>
      <x:c r="J169" s="10"/>
      <x:c r="K169" s="10"/>
      <x:c r="L169" s="10"/>
      <x:c r="M169" s="16"/>
    </x:row>
    <x:row r="170">
      <x:c r="B170" s="12"/>
      <x:c r="H170" s="10"/>
      <x:c r="I170" s="10"/>
      <x:c r="J170" s="10"/>
      <x:c r="K170" s="10"/>
      <x:c r="L170" s="10"/>
      <x:c r="M170" s="16"/>
    </x:row>
    <x:row r="171">
      <x:c r="B171" s="12"/>
      <x:c r="H171" s="10"/>
      <x:c r="I171" s="10"/>
      <x:c r="J171" s="10"/>
      <x:c r="K171" s="10"/>
      <x:c r="L171" s="10"/>
      <x:c r="M171" s="16"/>
    </x:row>
    <x:row r="172">
      <x:c r="B172" s="12"/>
      <x:c r="H172" s="10"/>
      <x:c r="I172" s="10"/>
      <x:c r="J172" s="10"/>
      <x:c r="K172" s="10"/>
      <x:c r="L172" s="10"/>
      <x:c r="M172" s="16"/>
    </x:row>
    <x:row r="173">
      <x:c r="B173" s="12"/>
      <x:c r="H173" s="10"/>
      <x:c r="I173" s="10"/>
      <x:c r="J173" s="10"/>
      <x:c r="K173" s="10"/>
      <x:c r="L173" s="10"/>
      <x:c r="M173" s="16"/>
    </x:row>
    <x:row r="174">
      <x:c r="B174" s="12"/>
      <x:c r="H174" s="10"/>
      <x:c r="I174" s="10"/>
      <x:c r="J174" s="10"/>
      <x:c r="K174" s="10"/>
      <x:c r="L174" s="10"/>
      <x:c r="M174" s="16"/>
    </x:row>
    <x:row r="175">
      <x:c r="B175" s="12"/>
      <x:c r="H175" s="10"/>
      <x:c r="I175" s="10"/>
      <x:c r="J175" s="10"/>
      <x:c r="K175" s="10"/>
      <x:c r="L175" s="10"/>
      <x:c r="M175" s="16"/>
    </x:row>
    <x:row r="176">
      <x:c r="B176" s="12"/>
      <x:c r="H176" s="10"/>
      <x:c r="I176" s="10"/>
      <x:c r="J176" s="10"/>
      <x:c r="K176" s="10"/>
      <x:c r="L176" s="10"/>
      <x:c r="M176" s="16"/>
    </x:row>
    <x:row r="177">
      <x:c r="B177" s="12"/>
      <x:c r="H177" s="10"/>
      <x:c r="I177" s="10"/>
      <x:c r="J177" s="10"/>
      <x:c r="K177" s="10"/>
      <x:c r="L177" s="10"/>
      <x:c r="M177" s="16"/>
    </x:row>
    <x:row r="178">
      <x:c r="B178" s="12"/>
      <x:c r="H178" s="10"/>
      <x:c r="I178" s="10"/>
      <x:c r="J178" s="10"/>
      <x:c r="K178" s="10"/>
      <x:c r="L178" s="10"/>
      <x:c r="M178" s="16"/>
    </x:row>
    <x:row r="179">
      <x:c r="B179" s="12"/>
      <x:c r="H179" s="10"/>
      <x:c r="I179" s="10"/>
      <x:c r="J179" s="10"/>
      <x:c r="K179" s="10"/>
      <x:c r="L179" s="10"/>
      <x:c r="M179" s="16"/>
    </x:row>
    <x:row r="180">
      <x:c r="B180" s="12"/>
      <x:c r="H180" s="10"/>
      <x:c r="I180" s="10"/>
      <x:c r="J180" s="10"/>
      <x:c r="K180" s="10"/>
      <x:c r="L180" s="10"/>
      <x:c r="M180" s="16"/>
    </x:row>
    <x:row r="181">
      <x:c r="B181" s="12"/>
      <x:c r="H181" s="10"/>
      <x:c r="I181" s="10"/>
      <x:c r="J181" s="10"/>
      <x:c r="K181" s="10"/>
      <x:c r="L181" s="10"/>
      <x:c r="M181" s="16"/>
    </x:row>
    <x:row r="182">
      <x:c r="B182" s="12"/>
      <x:c r="H182" s="10"/>
      <x:c r="I182" s="10"/>
      <x:c r="J182" s="10"/>
      <x:c r="K182" s="10"/>
      <x:c r="L182" s="10"/>
      <x:c r="M182" s="16"/>
    </x:row>
    <x:row r="183">
      <x:c r="B183" s="12"/>
      <x:c r="H183" s="10"/>
      <x:c r="I183" s="10"/>
      <x:c r="J183" s="10"/>
      <x:c r="K183" s="10"/>
      <x:c r="L183" s="10"/>
      <x:c r="M183" s="16"/>
    </x:row>
    <x:row r="184">
      <x:c r="B184" s="12"/>
      <x:c r="H184" s="10"/>
      <x:c r="I184" s="10"/>
      <x:c r="J184" s="10"/>
      <x:c r="K184" s="10"/>
      <x:c r="L184" s="10"/>
      <x:c r="M184" s="16"/>
    </x:row>
    <x:row r="185">
      <x:c r="B185" s="12"/>
      <x:c r="H185" s="10"/>
      <x:c r="I185" s="10"/>
      <x:c r="J185" s="10"/>
      <x:c r="K185" s="10"/>
      <x:c r="L185" s="10"/>
      <x:c r="M185" s="16"/>
    </x:row>
    <x:row r="186">
      <x:c r="B186" s="12"/>
      <x:c r="H186" s="10"/>
      <x:c r="I186" s="10"/>
      <x:c r="J186" s="10"/>
      <x:c r="K186" s="10"/>
      <x:c r="L186" s="10"/>
      <x:c r="M186" s="16"/>
    </x:row>
    <x:row r="187">
      <x:c r="B187" s="12"/>
      <x:c r="H187" s="10"/>
      <x:c r="I187" s="10"/>
      <x:c r="J187" s="10"/>
      <x:c r="K187" s="10"/>
      <x:c r="L187" s="10"/>
      <x:c r="M187" s="16"/>
    </x:row>
    <x:row r="188">
      <x:c r="B188" s="12"/>
      <x:c r="H188" s="10"/>
      <x:c r="I188" s="10"/>
      <x:c r="J188" s="10"/>
      <x:c r="K188" s="10"/>
      <x:c r="L188" s="10"/>
      <x:c r="M188" s="16"/>
    </x:row>
    <x:row r="189">
      <x:c r="B189" s="12"/>
      <x:c r="H189" s="10"/>
      <x:c r="I189" s="10"/>
      <x:c r="J189" s="10"/>
      <x:c r="K189" s="10"/>
      <x:c r="L189" s="10"/>
      <x:c r="M189" s="16"/>
    </x:row>
    <x:row r="190">
      <x:c r="B190" s="12"/>
      <x:c r="H190" s="10"/>
      <x:c r="I190" s="10"/>
      <x:c r="J190" s="10"/>
      <x:c r="K190" s="10"/>
      <x:c r="L190" s="10"/>
      <x:c r="M190" s="16"/>
    </x:row>
    <x:row r="191">
      <x:c r="B191" s="12"/>
      <x:c r="H191" s="10"/>
      <x:c r="I191" s="10"/>
      <x:c r="J191" s="10"/>
      <x:c r="K191" s="10"/>
      <x:c r="L191" s="10"/>
      <x:c r="M191" s="16"/>
    </x:row>
    <x:row r="192">
      <x:c r="B192" s="12"/>
      <x:c r="H192" s="10"/>
      <x:c r="I192" s="10"/>
      <x:c r="J192" s="10"/>
      <x:c r="K192" s="10"/>
      <x:c r="L192" s="10"/>
      <x:c r="M192" s="16"/>
    </x:row>
    <x:row r="193">
      <x:c r="B193" s="12"/>
      <x:c r="H193" s="10"/>
      <x:c r="I193" s="10"/>
      <x:c r="J193" s="10"/>
      <x:c r="K193" s="10"/>
      <x:c r="L193" s="10"/>
      <x:c r="M193" s="16"/>
    </x:row>
    <x:row r="194">
      <x:c r="B194" s="12"/>
      <x:c r="H194" s="10"/>
      <x:c r="I194" s="10"/>
      <x:c r="J194" s="10"/>
      <x:c r="K194" s="10"/>
      <x:c r="L194" s="10"/>
      <x:c r="M194" s="16"/>
    </x:row>
    <x:row r="195">
      <x:c r="B195" s="12"/>
      <x:c r="H195" s="10"/>
      <x:c r="I195" s="10"/>
      <x:c r="J195" s="10"/>
      <x:c r="K195" s="10"/>
      <x:c r="L195" s="10"/>
      <x:c r="M195" s="16"/>
    </x:row>
    <x:row r="196">
      <x:c r="B196" s="12"/>
      <x:c r="H196" s="10"/>
      <x:c r="I196" s="10"/>
      <x:c r="J196" s="10"/>
      <x:c r="K196" s="10"/>
      <x:c r="L196" s="10"/>
      <x:c r="M196" s="16"/>
    </x:row>
    <x:row r="197">
      <x:c r="B197" s="12"/>
      <x:c r="H197" s="10"/>
      <x:c r="I197" s="10"/>
      <x:c r="J197" s="10"/>
      <x:c r="K197" s="10"/>
      <x:c r="L197" s="10"/>
      <x:c r="M197" s="16"/>
    </x:row>
    <x:row r="198">
      <x:c r="B198" s="12"/>
      <x:c r="H198" s="10"/>
      <x:c r="I198" s="10"/>
      <x:c r="J198" s="10"/>
      <x:c r="K198" s="10"/>
      <x:c r="L198" s="10"/>
      <x:c r="M198" s="16"/>
    </x:row>
    <x:row r="199">
      <x:c r="B199" s="12"/>
      <x:c r="H199" s="10"/>
      <x:c r="I199" s="10"/>
      <x:c r="J199" s="10"/>
      <x:c r="K199" s="10"/>
      <x:c r="L199" s="10"/>
      <x:c r="M199" s="16"/>
    </x:row>
    <x:row r="200">
      <x:c r="B200" s="12"/>
      <x:c r="H200" s="10"/>
      <x:c r="I200" s="10"/>
      <x:c r="J200" s="10"/>
      <x:c r="K200" s="10"/>
      <x:c r="L200" s="10"/>
      <x:c r="M200" s="16"/>
    </x:row>
    <x:row r="201">
      <x:c r="B201" s="12"/>
      <x:c r="H201" s="10"/>
      <x:c r="I201" s="10"/>
      <x:c r="J201" s="10"/>
      <x:c r="K201" s="10"/>
      <x:c r="L201" s="10"/>
      <x:c r="M201" s="16"/>
    </x:row>
    <x:row r="202">
      <x:c r="B202" s="12"/>
      <x:c r="H202" s="10"/>
      <x:c r="I202" s="10"/>
      <x:c r="J202" s="10"/>
      <x:c r="K202" s="10"/>
      <x:c r="L202" s="10"/>
      <x:c r="M202" s="16"/>
    </x:row>
    <x:row r="203">
      <x:c r="B203" s="12"/>
      <x:c r="H203" s="10"/>
      <x:c r="I203" s="10"/>
      <x:c r="J203" s="10"/>
      <x:c r="K203" s="10"/>
      <x:c r="L203" s="10"/>
      <x:c r="M203" s="16"/>
    </x:row>
  </x:sheetData>
  <x:conditionalFormatting sqref="M4:M203">
    <x:cfRule type="cellIs" dxfId="7" priority="1" operator="lessThan">
      <x:formula>0.18</x:formula>
    </x:cfRule>
    <x:cfRule type="cellIs" dxfId="8" priority="2" operator="greaterThanOrEqual">
      <x:formula>0.3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e2f17953e534a6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4399995803833" hidden="0" customWidth="1"/>
    <x:col min="2" max="2" width="18.329999923706055" hidden="0" customWidth="1"/>
    <x:col min="3" max="3" width="11.109999656677246" hidden="0" customWidth="1"/>
    <x:col min="4" max="4" width="24.440000534057617" hidden="0" customWidth="1"/>
    <x:col min="5" max="5" width="10" hidden="0" customWidth="1"/>
    <x:col min="6" max="6" width="14.4399995803833" hidden="0" customWidth="1"/>
    <x:col min="7" max="7" width="10" hidden="0" customWidth="1"/>
    <x:col min="8" max="8" width="8.890000343322754" hidden="0" customWidth="1"/>
    <x:col min="9" max="9" width="10" hidden="0" customWidth="1"/>
    <x:col min="10" max="10" width="17.219999313354492" hidden="0" customWidth="1"/>
    <x:col min="11" max="11" width="21.110000610351562" hidden="0" customWidth="1"/>
    <x:col min="12" max="12" width="24.440000534057617" hidden="0" customWidth="1"/>
    <x:col min="13" max="13" width="7.21999979019165" hidden="0" customWidth="1"/>
    <x:col min="14" max="14" width="10" hidden="0" customWidth="1"/>
  </x:cols>
  <x:sheetData>
    <x:row r="1" ht="25.5" customHeight="1">
      <x:c r="A1" s="7" t="str">
        <x:v>供应商&amp;物流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</x:row>
    <x:row r="2" ht="21" customHeight="1">
      <x:c r="A2" s="8" t="str">
        <x:v>沉淀供应商、配套件、物流方式和风险，避免报价时临时找资料。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</x:row>
    <x:row r="3">
      <x:c r="A3" s="4" t="str">
        <x:v>供应商ID</x:v>
      </x:c>
      <x:c r="B3" s="4" t="str">
        <x:v>供应商名称</x:v>
      </x:c>
      <x:c r="C3" s="4" t="str">
        <x:v>类型</x:v>
      </x:c>
      <x:c r="D3" s="4" t="str">
        <x:v>可供产品</x:v>
      </x:c>
      <x:c r="E3" s="4" t="str">
        <x:v>联系人</x:v>
      </x:c>
      <x:c r="F3" s="4" t="str">
        <x:v>联系方式</x:v>
      </x:c>
      <x:c r="G3" s="4" t="str">
        <x:v>城市</x:v>
      </x:c>
      <x:c r="H3" s="4" t="str">
        <x:v>交期</x:v>
      </x:c>
      <x:c r="I3" s="4" t="str">
        <x:v>最小起订</x:v>
      </x:c>
      <x:c r="J3" s="4" t="str">
        <x:v>付款条件</x:v>
      </x:c>
      <x:c r="K3" s="4" t="str">
        <x:v>质量风险</x:v>
      </x:c>
      <x:c r="L3" s="4" t="str">
        <x:v>物流/报关备注</x:v>
      </x:c>
      <x:c r="M3" s="4" t="str">
        <x:v>评级</x:v>
      </x:c>
      <x:c r="N3" s="4" t="str">
        <x:v>状态</x:v>
      </x:c>
    </x:row>
    <x:row r="4">
      <x:c r="A4" s="5" t="str">
        <x:v>S-001</x:v>
      </x:c>
      <x:c r="B4" s="5" t="str">
        <x:v>待补充：农用机厂家</x:v>
      </x:c>
      <x:c r="C4" s="5" t="str">
        <x:v>整机/配件</x:v>
      </x:c>
      <x:c r="D4" s="5" t="str">
        <x:v>30L/50L 农用无人机、喷头、电池</x:v>
      </x:c>
      <x:c r="E4" s="5" t="str">
        <x:v>待补充</x:v>
      </x:c>
      <x:c r="F4" s="5" t="str">
        <x:v>待补充</x:v>
      </x:c>
      <x:c r="G4" s="5" t="str">
        <x:v>深圳/广州</x:v>
      </x:c>
      <x:c r="H4" s="5" t="str">
        <x:v>7-15天</x:v>
      </x:c>
      <x:c r="I4" s="5" t="str">
        <x:v>1 set</x:v>
      </x:c>
      <x:c r="J4" s="5" t="str">
        <x:v>30%订金/70%发货前</x:v>
      </x:c>
      <x:c r="K4" s="5" t="str">
        <x:v>需确认质保和备件价格</x:v>
      </x:c>
      <x:c r="L4" s="5" t="str">
        <x:v>电池需单独确认运输方案</x:v>
      </x:c>
      <x:c r="M4" s="5" t="str">
        <x:v>A</x:v>
      </x:c>
      <x:c r="N4" s="5" t="str">
        <x:v>进行中</x:v>
      </x:c>
    </x:row>
    <x:row r="5">
      <x:c r="A5" s="5" t="str">
        <x:v>S-002</x:v>
      </x:c>
      <x:c r="B5" s="5" t="str">
        <x:v>待补充：FPV配件工厂</x:v>
      </x:c>
      <x:c r="C5" s="5" t="str">
        <x:v>配件</x:v>
      </x:c>
      <x:c r="D5" s="5" t="str">
        <x:v>电机、桨叶、机架、飞控</x:v>
      </x:c>
      <x:c r="E5" s="5" t="str">
        <x:v>待补充</x:v>
      </x:c>
      <x:c r="F5" s="5" t="str">
        <x:v>待补充</x:v>
      </x:c>
      <x:c r="G5" s="5" t="str">
        <x:v>深圳</x:v>
      </x:c>
      <x:c r="H5" s="5" t="str">
        <x:v>3-10天</x:v>
      </x:c>
      <x:c r="I5" s="5" t="str">
        <x:v>50 pcs</x:v>
      </x:c>
      <x:c r="J5" s="5" t="str">
        <x:v>全款/账期待谈</x:v>
      </x:c>
      <x:c r="K5" s="5" t="str">
        <x:v>批次一致性需抽检</x:v>
      </x:c>
      <x:c r="L5" s="5" t="str">
        <x:v>小件可快递，大电池限制多</x:v>
      </x:c>
      <x:c r="M5" s="5" t="str">
        <x:v>B</x:v>
      </x:c>
      <x:c r="N5" s="5" t="str">
        <x:v>未开始</x:v>
      </x:c>
    </x:row>
  </x:sheetData>
  <x:conditionalFormatting sqref="A4:N203">
    <x:cfRule type="expression" dxfId="9" priority="1">
      <x:formula>$N4="已完成"</x:formula>
    </x:cfRule>
    <x:cfRule type="expression" dxfId="10" priority="2">
      <x:formula>$N4="进行中"</x:formula>
    </x:cfRule>
    <x:cfRule type="expression" dxfId="11" priority="3">
      <x:formula>$N4="风险"</x:formula>
    </x:cfRule>
  </x:conditionalFormatting>
  <x:dataValidations count="1">
    <x:dataValidation type="list" sqref="N4:N203">
      <x:formula1>下拉选项!$A$2:$A$6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aa9bc3bd7594e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29999923706055" hidden="0" customWidth="1"/>
    <x:col min="2" max="2" width="12.220000267028809" hidden="0" customWidth="1"/>
    <x:col min="3" max="3" width="12.220000267028809" hidden="0" customWidth="1"/>
    <x:col min="4" max="4" width="25.559999465942383" hidden="0" customWidth="1"/>
    <x:col min="5" max="5" width="12.220000267028809" hidden="0" customWidth="1"/>
    <x:col min="6" max="6" width="22.219999313354492" hidden="0" customWidth="1"/>
    <x:col min="7" max="7" width="14.4399995803833" hidden="0" customWidth="1"/>
    <x:col min="8" max="8" width="8.890000343322754" hidden="0" customWidth="1"/>
    <x:col min="9" max="9" width="11.670000076293945" hidden="0" customWidth="1"/>
    <x:col min="10" max="10" width="10" hidden="0" customWidth="1"/>
    <x:col min="11" max="11" width="18.329999923706055" hidden="0" customWidth="1"/>
    <x:col min="12" max="12" width="16.110000610351562" hidden="0" customWidth="1"/>
    <x:col min="13" max="13" width="20" hidden="0" customWidth="1"/>
  </x:cols>
  <x:sheetData>
    <x:row r="1" ht="25.5" customHeight="1">
      <x:c r="A1" s="7" t="str">
        <x:v>内容素材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</x:row>
    <x:row r="2" ht="21" customHeight="1">
      <x:c r="A2" s="8" t="str">
        <x:v>把产品页、社媒、视频、FAQ和资料包统一排期。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>
      <x:c r="A3" s="4" t="str">
        <x:v>素材ID</x:v>
      </x:c>
      <x:c r="B3" s="4" t="str">
        <x:v>渠道</x:v>
      </x:c>
      <x:c r="C3" s="4" t="str">
        <x:v>产品类型</x:v>
      </x:c>
      <x:c r="D3" s="4" t="str">
        <x:v>内容主题</x:v>
      </x:c>
      <x:c r="E3" s="4" t="str">
        <x:v>内容形式</x:v>
      </x:c>
      <x:c r="F3" s="4" t="str">
        <x:v>关键词/标签</x:v>
      </x:c>
      <x:c r="G3" s="4" t="str">
        <x:v>目标客户</x:v>
      </x:c>
      <x:c r="H3" s="4" t="str">
        <x:v>负责人</x:v>
      </x:c>
      <x:c r="I3" s="4" t="str">
        <x:v>截止日期</x:v>
      </x:c>
      <x:c r="J3" s="4" t="str">
        <x:v>状态</x:v>
      </x:c>
      <x:c r="K3" s="4" t="str">
        <x:v>素材链接/文件</x:v>
      </x:c>
      <x:c r="L3" s="4" t="str">
        <x:v>复用场景</x:v>
      </x:c>
      <x:c r="M3" s="4" t="str">
        <x:v>备注</x:v>
      </x:c>
    </x:row>
    <x:row r="4">
      <x:c r="A4" s="5" t="str">
        <x:v>C-001</x:v>
      </x:c>
      <x:c r="B4" s="5" t="str">
        <x:v>阿里国际站</x:v>
      </x:c>
      <x:c r="C4" s="5" t="str">
        <x:v>农用无人机</x:v>
      </x:c>
      <x:c r="D4" s="5" t="str">
        <x:v>30L 农用喷洒无人机详情页</x:v>
      </x:c>
      <x:c r="E4" s="5" t="str">
        <x:v>产品页文案</x:v>
      </x:c>
      <x:c r="F4" s="5" t="str">
        <x:v>agricultural drone, spraying drone</x:v>
      </x:c>
      <x:c r="G4" s="5" t="str">
        <x:v>经销商/农场</x:v>
      </x:c>
      <x:c r="H4" s="5" t="str">
        <x:v>待定</x:v>
      </x:c>
      <x:c r="I4" s="11" t="n">
        <x:v>46193</x:v>
      </x:c>
      <x:c r="J4" s="5" t="str">
        <x:v>未开始</x:v>
      </x:c>
      <x:c r="K4" s="5" t="str"/>
      <x:c r="L4" s="5" t="str">
        <x:v>Alibaba/独立站</x:v>
      </x:c>
      <x:c r="M4" s="5" t="str">
        <x:v>含标题、五点卖点、FAQ</x:v>
      </x:c>
    </x:row>
    <x:row r="5">
      <x:c r="A5" s="5" t="str">
        <x:v>C-002</x:v>
      </x:c>
      <x:c r="B5" s="5" t="str">
        <x:v>Google独立站</x:v>
      </x:c>
      <x:c r="C5" s="5" t="str">
        <x:v>无人机配件</x:v>
      </x:c>
      <x:c r="D5" s="5" t="str">
        <x:v>无人机螺旋桨选型指南</x:v>
      </x:c>
      <x:c r="E5" s="5" t="str">
        <x:v>SEO文章</x:v>
      </x:c>
      <x:c r="F5" s="5" t="str">
        <x:v>drone propeller, carbon fiber propeller</x:v>
      </x:c>
      <x:c r="G5" s="5" t="str">
        <x:v>维修商/DIY客户</x:v>
      </x:c>
      <x:c r="H5" s="5" t="str">
        <x:v>待定</x:v>
      </x:c>
      <x:c r="I5" s="11" t="n">
        <x:v>46198</x:v>
      </x:c>
      <x:c r="J5" s="5" t="str">
        <x:v>未开始</x:v>
      </x:c>
      <x:c r="K5" s="5" t="str"/>
      <x:c r="L5" s="5" t="str">
        <x:v>SEO/LinkedIn</x:v>
      </x:c>
      <x:c r="M5" s="5" t="str"/>
    </x:row>
    <x:row r="6">
      <x:c r="A6" s="5" t="str">
        <x:v>C-003</x:v>
      </x:c>
      <x:c r="B6" s="5" t="str">
        <x:v>YouTube</x:v>
      </x:c>
      <x:c r="C6" s="5" t="str">
        <x:v>工业无人机</x:v>
      </x:c>
      <x:c r="D6" s="5" t="str">
        <x:v>巡检无人机应用场景视频</x:v>
      </x:c>
      <x:c r="E6" s="5" t="str">
        <x:v>视频脚本</x:v>
      </x:c>
      <x:c r="F6" s="5" t="str">
        <x:v>inspection drone, industrial UAV</x:v>
      </x:c>
      <x:c r="G6" s="5" t="str">
        <x:v>系统集成商</x:v>
      </x:c>
      <x:c r="H6" s="5" t="str">
        <x:v>待定</x:v>
      </x:c>
      <x:c r="I6" s="11" t="n">
        <x:v>46208</x:v>
      </x:c>
      <x:c r="J6" s="5" t="str">
        <x:v>未开始</x:v>
      </x:c>
      <x:c r="K6" s="5" t="str"/>
      <x:c r="L6" s="5" t="str">
        <x:v>YouTube/客户跟进</x:v>
      </x:c>
      <x:c r="M6" s="5" t="str">
        <x:v>需要实拍素材</x:v>
      </x:c>
    </x:row>
    <x:row r="7">
      <x:c r="I7" s="12"/>
    </x:row>
    <x:row r="8">
      <x:c r="I8" s="12"/>
    </x:row>
    <x:row r="9">
      <x:c r="I9" s="12"/>
    </x:row>
    <x:row r="10">
      <x:c r="I10" s="12"/>
    </x:row>
    <x:row r="11">
      <x:c r="I11" s="12"/>
    </x:row>
    <x:row r="12">
      <x:c r="I12" s="12"/>
    </x:row>
    <x:row r="13">
      <x:c r="I13" s="12"/>
    </x:row>
    <x:row r="14">
      <x:c r="I14" s="12"/>
    </x:row>
    <x:row r="15">
      <x:c r="I15" s="12"/>
    </x:row>
    <x:row r="16">
      <x:c r="I16" s="12"/>
    </x:row>
    <x:row r="17">
      <x:c r="I17" s="12"/>
    </x:row>
    <x:row r="18">
      <x:c r="I18" s="12"/>
    </x:row>
    <x:row r="19">
      <x:c r="I19" s="12"/>
    </x:row>
    <x:row r="20">
      <x:c r="I20" s="12"/>
    </x:row>
    <x:row r="21">
      <x:c r="I21" s="12"/>
    </x:row>
    <x:row r="22">
      <x:c r="I22" s="12"/>
    </x:row>
    <x:row r="23">
      <x:c r="I23" s="12"/>
    </x:row>
    <x:row r="24">
      <x:c r="I24" s="12"/>
    </x:row>
    <x:row r="25">
      <x:c r="I25" s="12"/>
    </x:row>
    <x:row r="26">
      <x:c r="I26" s="12"/>
    </x:row>
    <x:row r="27">
      <x:c r="I27" s="12"/>
    </x:row>
    <x:row r="28">
      <x:c r="I28" s="12"/>
    </x:row>
    <x:row r="29">
      <x:c r="I29" s="12"/>
    </x:row>
    <x:row r="30">
      <x:c r="I30" s="12"/>
    </x:row>
    <x:row r="31">
      <x:c r="I31" s="12"/>
    </x:row>
    <x:row r="32">
      <x:c r="I32" s="12"/>
    </x:row>
    <x:row r="33">
      <x:c r="I33" s="12"/>
    </x:row>
    <x:row r="34">
      <x:c r="I34" s="12"/>
    </x:row>
    <x:row r="35">
      <x:c r="I35" s="12"/>
    </x:row>
    <x:row r="36">
      <x:c r="I36" s="12"/>
    </x:row>
    <x:row r="37">
      <x:c r="I37" s="12"/>
    </x:row>
    <x:row r="38">
      <x:c r="I38" s="12"/>
    </x:row>
    <x:row r="39">
      <x:c r="I39" s="12"/>
    </x:row>
    <x:row r="40">
      <x:c r="I40" s="12"/>
    </x:row>
    <x:row r="41">
      <x:c r="I41" s="12"/>
    </x:row>
    <x:row r="42">
      <x:c r="I42" s="12"/>
    </x:row>
    <x:row r="43">
      <x:c r="I43" s="12"/>
    </x:row>
    <x:row r="44">
      <x:c r="I44" s="12"/>
    </x:row>
    <x:row r="45">
      <x:c r="I45" s="12"/>
    </x:row>
    <x:row r="46">
      <x:c r="I46" s="12"/>
    </x:row>
    <x:row r="47">
      <x:c r="I47" s="12"/>
    </x:row>
    <x:row r="48">
      <x:c r="I48" s="12"/>
    </x:row>
    <x:row r="49">
      <x:c r="I49" s="12"/>
    </x:row>
    <x:row r="50">
      <x:c r="I50" s="12"/>
    </x:row>
    <x:row r="51">
      <x:c r="I51" s="12"/>
    </x:row>
    <x:row r="52">
      <x:c r="I52" s="12"/>
    </x:row>
    <x:row r="53">
      <x:c r="I53" s="12"/>
    </x:row>
    <x:row r="54">
      <x:c r="I54" s="12"/>
    </x:row>
    <x:row r="55">
      <x:c r="I55" s="12"/>
    </x:row>
    <x:row r="56">
      <x:c r="I56" s="12"/>
    </x:row>
    <x:row r="57">
      <x:c r="I57" s="12"/>
    </x:row>
    <x:row r="58">
      <x:c r="I58" s="12"/>
    </x:row>
    <x:row r="59">
      <x:c r="I59" s="12"/>
    </x:row>
    <x:row r="60">
      <x:c r="I60" s="12"/>
    </x:row>
    <x:row r="61">
      <x:c r="I61" s="12"/>
    </x:row>
    <x:row r="62">
      <x:c r="I62" s="12"/>
    </x:row>
    <x:row r="63">
      <x:c r="I63" s="12"/>
    </x:row>
    <x:row r="64">
      <x:c r="I64" s="12"/>
    </x:row>
    <x:row r="65">
      <x:c r="I65" s="12"/>
    </x:row>
    <x:row r="66">
      <x:c r="I66" s="12"/>
    </x:row>
    <x:row r="67">
      <x:c r="I67" s="12"/>
    </x:row>
    <x:row r="68">
      <x:c r="I68" s="12"/>
    </x:row>
    <x:row r="69">
      <x:c r="I69" s="12"/>
    </x:row>
    <x:row r="70">
      <x:c r="I70" s="12"/>
    </x:row>
    <x:row r="71">
      <x:c r="I71" s="12"/>
    </x:row>
    <x:row r="72">
      <x:c r="I72" s="12"/>
    </x:row>
    <x:row r="73">
      <x:c r="I73" s="12"/>
    </x:row>
    <x:row r="74">
      <x:c r="I74" s="12"/>
    </x:row>
    <x:row r="75">
      <x:c r="I75" s="12"/>
    </x:row>
    <x:row r="76">
      <x:c r="I76" s="12"/>
    </x:row>
    <x:row r="77">
      <x:c r="I77" s="12"/>
    </x:row>
    <x:row r="78">
      <x:c r="I78" s="12"/>
    </x:row>
    <x:row r="79">
      <x:c r="I79" s="12"/>
    </x:row>
    <x:row r="80">
      <x:c r="I80" s="12"/>
    </x:row>
    <x:row r="81">
      <x:c r="I81" s="12"/>
    </x:row>
    <x:row r="82">
      <x:c r="I82" s="12"/>
    </x:row>
    <x:row r="83">
      <x:c r="I83" s="12"/>
    </x:row>
    <x:row r="84">
      <x:c r="I84" s="12"/>
    </x:row>
    <x:row r="85">
      <x:c r="I85" s="12"/>
    </x:row>
    <x:row r="86">
      <x:c r="I86" s="12"/>
    </x:row>
    <x:row r="87">
      <x:c r="I87" s="12"/>
    </x:row>
    <x:row r="88">
      <x:c r="I88" s="12"/>
    </x:row>
    <x:row r="89">
      <x:c r="I89" s="12"/>
    </x:row>
    <x:row r="90">
      <x:c r="I90" s="12"/>
    </x:row>
    <x:row r="91">
      <x:c r="I91" s="12"/>
    </x:row>
    <x:row r="92">
      <x:c r="I92" s="12"/>
    </x:row>
    <x:row r="93">
      <x:c r="I93" s="12"/>
    </x:row>
    <x:row r="94">
      <x:c r="I94" s="12"/>
    </x:row>
    <x:row r="95">
      <x:c r="I95" s="12"/>
    </x:row>
    <x:row r="96">
      <x:c r="I96" s="12"/>
    </x:row>
    <x:row r="97">
      <x:c r="I97" s="12"/>
    </x:row>
    <x:row r="98">
      <x:c r="I98" s="12"/>
    </x:row>
    <x:row r="99">
      <x:c r="I99" s="12"/>
    </x:row>
    <x:row r="100">
      <x:c r="I100" s="12"/>
    </x:row>
    <x:row r="101">
      <x:c r="I101" s="12"/>
    </x:row>
    <x:row r="102">
      <x:c r="I102" s="12"/>
    </x:row>
    <x:row r="103">
      <x:c r="I103" s="12"/>
    </x:row>
    <x:row r="104">
      <x:c r="I104" s="12"/>
    </x:row>
    <x:row r="105">
      <x:c r="I105" s="12"/>
    </x:row>
    <x:row r="106">
      <x:c r="I106" s="12"/>
    </x:row>
    <x:row r="107">
      <x:c r="I107" s="12"/>
    </x:row>
    <x:row r="108">
      <x:c r="I108" s="12"/>
    </x:row>
    <x:row r="109">
      <x:c r="I109" s="12"/>
    </x:row>
    <x:row r="110">
      <x:c r="I110" s="12"/>
    </x:row>
    <x:row r="111">
      <x:c r="I111" s="12"/>
    </x:row>
    <x:row r="112">
      <x:c r="I112" s="12"/>
    </x:row>
    <x:row r="113">
      <x:c r="I113" s="12"/>
    </x:row>
    <x:row r="114">
      <x:c r="I114" s="12"/>
    </x:row>
    <x:row r="115">
      <x:c r="I115" s="12"/>
    </x:row>
    <x:row r="116">
      <x:c r="I116" s="12"/>
    </x:row>
    <x:row r="117">
      <x:c r="I117" s="12"/>
    </x:row>
    <x:row r="118">
      <x:c r="I118" s="12"/>
    </x:row>
    <x:row r="119">
      <x:c r="I119" s="12"/>
    </x:row>
    <x:row r="120">
      <x:c r="I120" s="12"/>
    </x:row>
    <x:row r="121">
      <x:c r="I121" s="12"/>
    </x:row>
    <x:row r="122">
      <x:c r="I122" s="12"/>
    </x:row>
    <x:row r="123">
      <x:c r="I123" s="12"/>
    </x:row>
    <x:row r="124">
      <x:c r="I124" s="12"/>
    </x:row>
    <x:row r="125">
      <x:c r="I125" s="12"/>
    </x:row>
    <x:row r="126">
      <x:c r="I126" s="12"/>
    </x:row>
    <x:row r="127">
      <x:c r="I127" s="12"/>
    </x:row>
    <x:row r="128">
      <x:c r="I128" s="12"/>
    </x:row>
    <x:row r="129">
      <x:c r="I129" s="12"/>
    </x:row>
    <x:row r="130">
      <x:c r="I130" s="12"/>
    </x:row>
    <x:row r="131">
      <x:c r="I131" s="12"/>
    </x:row>
    <x:row r="132">
      <x:c r="I132" s="12"/>
    </x:row>
    <x:row r="133">
      <x:c r="I133" s="12"/>
    </x:row>
    <x:row r="134">
      <x:c r="I134" s="12"/>
    </x:row>
    <x:row r="135">
      <x:c r="I135" s="12"/>
    </x:row>
    <x:row r="136">
      <x:c r="I136" s="12"/>
    </x:row>
    <x:row r="137">
      <x:c r="I137" s="12"/>
    </x:row>
    <x:row r="138">
      <x:c r="I138" s="12"/>
    </x:row>
    <x:row r="139">
      <x:c r="I139" s="12"/>
    </x:row>
    <x:row r="140">
      <x:c r="I140" s="12"/>
    </x:row>
    <x:row r="141">
      <x:c r="I141" s="12"/>
    </x:row>
    <x:row r="142">
      <x:c r="I142" s="12"/>
    </x:row>
    <x:row r="143">
      <x:c r="I143" s="12"/>
    </x:row>
    <x:row r="144">
      <x:c r="I144" s="12"/>
    </x:row>
    <x:row r="145">
      <x:c r="I145" s="12"/>
    </x:row>
    <x:row r="146">
      <x:c r="I146" s="12"/>
    </x:row>
    <x:row r="147">
      <x:c r="I147" s="12"/>
    </x:row>
    <x:row r="148">
      <x:c r="I148" s="12"/>
    </x:row>
    <x:row r="149">
      <x:c r="I149" s="12"/>
    </x:row>
    <x:row r="150">
      <x:c r="I150" s="12"/>
    </x:row>
    <x:row r="151">
      <x:c r="I151" s="12"/>
    </x:row>
    <x:row r="152">
      <x:c r="I152" s="12"/>
    </x:row>
    <x:row r="153">
      <x:c r="I153" s="12"/>
    </x:row>
    <x:row r="154">
      <x:c r="I154" s="12"/>
    </x:row>
    <x:row r="155">
      <x:c r="I155" s="12"/>
    </x:row>
    <x:row r="156">
      <x:c r="I156" s="12"/>
    </x:row>
    <x:row r="157">
      <x:c r="I157" s="12"/>
    </x:row>
    <x:row r="158">
      <x:c r="I158" s="12"/>
    </x:row>
    <x:row r="159">
      <x:c r="I159" s="12"/>
    </x:row>
    <x:row r="160">
      <x:c r="I160" s="12"/>
    </x:row>
    <x:row r="161">
      <x:c r="I161" s="12"/>
    </x:row>
    <x:row r="162">
      <x:c r="I162" s="12"/>
    </x:row>
    <x:row r="163">
      <x:c r="I163" s="12"/>
    </x:row>
    <x:row r="164">
      <x:c r="I164" s="12"/>
    </x:row>
    <x:row r="165">
      <x:c r="I165" s="12"/>
    </x:row>
    <x:row r="166">
      <x:c r="I166" s="12"/>
    </x:row>
    <x:row r="167">
      <x:c r="I167" s="12"/>
    </x:row>
    <x:row r="168">
      <x:c r="I168" s="12"/>
    </x:row>
    <x:row r="169">
      <x:c r="I169" s="12"/>
    </x:row>
    <x:row r="170">
      <x:c r="I170" s="12"/>
    </x:row>
    <x:row r="171">
      <x:c r="I171" s="12"/>
    </x:row>
    <x:row r="172">
      <x:c r="I172" s="12"/>
    </x:row>
    <x:row r="173">
      <x:c r="I173" s="12"/>
    </x:row>
    <x:row r="174">
      <x:c r="I174" s="12"/>
    </x:row>
    <x:row r="175">
      <x:c r="I175" s="12"/>
    </x:row>
    <x:row r="176">
      <x:c r="I176" s="12"/>
    </x:row>
    <x:row r="177">
      <x:c r="I177" s="12"/>
    </x:row>
    <x:row r="178">
      <x:c r="I178" s="12"/>
    </x:row>
    <x:row r="179">
      <x:c r="I179" s="12"/>
    </x:row>
    <x:row r="180">
      <x:c r="I180" s="12"/>
    </x:row>
    <x:row r="181">
      <x:c r="I181" s="12"/>
    </x:row>
    <x:row r="182">
      <x:c r="I182" s="12"/>
    </x:row>
    <x:row r="183">
      <x:c r="I183" s="12"/>
    </x:row>
    <x:row r="184">
      <x:c r="I184" s="12"/>
    </x:row>
    <x:row r="185">
      <x:c r="I185" s="12"/>
    </x:row>
    <x:row r="186">
      <x:c r="I186" s="12"/>
    </x:row>
    <x:row r="187">
      <x:c r="I187" s="12"/>
    </x:row>
    <x:row r="188">
      <x:c r="I188" s="12"/>
    </x:row>
    <x:row r="189">
      <x:c r="I189" s="12"/>
    </x:row>
    <x:row r="190">
      <x:c r="I190" s="12"/>
    </x:row>
    <x:row r="191">
      <x:c r="I191" s="12"/>
    </x:row>
    <x:row r="192">
      <x:c r="I192" s="12"/>
    </x:row>
    <x:row r="193">
      <x:c r="I193" s="12"/>
    </x:row>
    <x:row r="194">
      <x:c r="I194" s="12"/>
    </x:row>
    <x:row r="195">
      <x:c r="I195" s="12"/>
    </x:row>
    <x:row r="196">
      <x:c r="I196" s="12"/>
    </x:row>
    <x:row r="197">
      <x:c r="I197" s="12"/>
    </x:row>
    <x:row r="198">
      <x:c r="I198" s="12"/>
    </x:row>
    <x:row r="199">
      <x:c r="I199" s="12"/>
    </x:row>
    <x:row r="200">
      <x:c r="I200" s="12"/>
    </x:row>
    <x:row r="201">
      <x:c r="I201" s="12"/>
    </x:row>
    <x:row r="202">
      <x:c r="I202" s="12"/>
    </x:row>
    <x:row r="203">
      <x:c r="I203" s="12"/>
    </x:row>
  </x:sheetData>
  <x:conditionalFormatting sqref="A4:M203">
    <x:cfRule type="expression" dxfId="12" priority="1">
      <x:formula>$J4="已完成"</x:formula>
    </x:cfRule>
    <x:cfRule type="expression" dxfId="13" priority="2">
      <x:formula>$J4="进行中"</x:formula>
    </x:cfRule>
    <x:cfRule type="expression" dxfId="14" priority="3">
      <x:formula>$J4="风险"</x:formula>
    </x:cfRule>
  </x:conditionalFormatting>
  <x:dataValidations count="3">
    <x:dataValidation type="list" sqref="B4:B203">
      <x:formula1>下拉选项!$H$2:$H$8</x:formula1>
    </x:dataValidation>
    <x:dataValidation type="list" sqref="C4:C203">
      <x:formula1>下拉选项!$B$2:$B$6</x:formula1>
    </x:dataValidation>
    <x:dataValidation type="list" sqref="J4:J203">
      <x:formula1>下拉选项!$A$2:$A$6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6fd664ad6c445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29999923706055" hidden="0" customWidth="1"/>
    <x:col min="2" max="2" width="16.670000076293945" hidden="0" customWidth="1"/>
    <x:col min="3" max="3" width="7.21999979019165" hidden="0" customWidth="1"/>
    <x:col min="4" max="4" width="10" hidden="0" customWidth="1"/>
    <x:col min="5" max="5" width="26.110000610351562" hidden="0" customWidth="1"/>
    <x:col min="6" max="6" width="17.780000686645508" hidden="0" customWidth="1"/>
    <x:col min="7" max="7" width="12.779999732971191" hidden="0" customWidth="1"/>
    <x:col min="8" max="8" width="11.670000076293945" hidden="0" customWidth="1"/>
    <x:col min="9" max="9" width="11.670000076293945" hidden="0" customWidth="1"/>
    <x:col min="10" max="10" width="10" hidden="0" customWidth="1"/>
    <x:col min="11" max="11" width="8.329999923706055" hidden="0" customWidth="1"/>
    <x:col min="12" max="12" width="18.889999389648438" hidden="0" customWidth="1"/>
  </x:cols>
  <x:sheetData>
    <x:row r="1" ht="25.5" customHeight="1">
      <x:c r="A1" s="7" t="str">
        <x:v>90天任务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2" ht="21" customHeight="1">
      <x:c r="A2" s="8" t="str">
        <x:v>第1个月跑市场，第2个月开渠道，第3个月搭流程。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A3" s="4" t="str">
        <x:v>任务ID</x:v>
      </x:c>
      <x:c r="B3" s="4" t="str">
        <x:v>阶段</x:v>
      </x:c>
      <x:c r="C3" s="4" t="str">
        <x:v>周次</x:v>
      </x:c>
      <x:c r="D3" s="4" t="str">
        <x:v>模块</x:v>
      </x:c>
      <x:c r="E3" s="4" t="str">
        <x:v>任务</x:v>
      </x:c>
      <x:c r="F3" s="4" t="str">
        <x:v>产出物</x:v>
      </x:c>
      <x:c r="G3" s="4" t="str">
        <x:v>负责人</x:v>
      </x:c>
      <x:c r="H3" s="4" t="str">
        <x:v>开始日期</x:v>
      </x:c>
      <x:c r="I3" s="4" t="str">
        <x:v>截止日期</x:v>
      </x:c>
      <x:c r="J3" s="4" t="str">
        <x:v>状态</x:v>
      </x:c>
      <x:c r="K3" s="4" t="str">
        <x:v>优先级</x:v>
      </x:c>
      <x:c r="L3" s="4" t="str">
        <x:v>备注</x:v>
      </x:c>
    </x:row>
    <x:row r="4">
      <x:c r="A4" s="5" t="str">
        <x:v>T-001</x:v>
      </x:c>
      <x:c r="B4" s="5" t="str">
        <x:v>第1个月：跑通市场</x:v>
      </x:c>
      <x:c r="C4" s="5" t="str">
        <x:v>W1</x:v>
      </x:c>
      <x:c r="D4" s="5" t="str">
        <x:v>产品线</x:v>
      </x:c>
      <x:c r="E4" s="5" t="str">
        <x:v>整理主推SKU和参数</x:v>
      </x:c>
      <x:c r="F4" s="5" t="str">
        <x:v>产品线SKU表、产品参数</x:v>
      </x:c>
      <x:c r="G4" s="5" t="str">
        <x:v>父亲大人/幺儿</x:v>
      </x:c>
      <x:c r="H4" s="11" t="n">
        <x:v>46183</x:v>
      </x:c>
      <x:c r="I4" s="11" t="n">
        <x:v>46187</x:v>
      </x:c>
      <x:c r="J4" s="5" t="str">
        <x:v>进行中</x:v>
      </x:c>
      <x:c r="K4" s="5" t="str">
        <x:v>高</x:v>
      </x:c>
      <x:c r="L4" s="5" t="str"/>
    </x:row>
    <x:row r="5">
      <x:c r="A5" s="5" t="str">
        <x:v>T-002</x:v>
      </x:c>
      <x:c r="B5" s="5" t="str">
        <x:v>第1个月：跑通市场</x:v>
      </x:c>
      <x:c r="C5" s="5" t="str">
        <x:v>W1</x:v>
      </x:c>
      <x:c r="D5" s="5" t="str">
        <x:v>竞品</x:v>
      </x:c>
      <x:c r="E5" s="5" t="str">
        <x:v>收集阿里/Google竞品各10个</x:v>
      </x:c>
      <x:c r="F5" s="5" t="str">
        <x:v>竞品分析表</x:v>
      </x:c>
      <x:c r="G5" s="5" t="str">
        <x:v>幺儿</x:v>
      </x:c>
      <x:c r="H5" s="11" t="n">
        <x:v>46183</x:v>
      </x:c>
      <x:c r="I5" s="11" t="n">
        <x:v>46189</x:v>
      </x:c>
      <x:c r="J5" s="5" t="str">
        <x:v>未开始</x:v>
      </x:c>
      <x:c r="K5" s="5" t="str">
        <x:v>高</x:v>
      </x:c>
      <x:c r="L5" s="5" t="str"/>
    </x:row>
    <x:row r="6">
      <x:c r="A6" s="5" t="str">
        <x:v>T-003</x:v>
      </x:c>
      <x:c r="B6" s="5" t="str">
        <x:v>第1个月：跑通市场</x:v>
      </x:c>
      <x:c r="C6" s="5" t="str">
        <x:v>W2</x:v>
      </x:c>
      <x:c r="D6" s="5" t="str">
        <x:v>客户开发</x:v>
      </x:c>
      <x:c r="E6" s="5" t="str">
        <x:v>建立首批50个潜在客户名单</x:v>
      </x:c>
      <x:c r="F6" s="5" t="str">
        <x:v>潜在客户表</x:v>
      </x:c>
      <x:c r="G6" s="5" t="str">
        <x:v>父亲大人/幺儿</x:v>
      </x:c>
      <x:c r="H6" s="11" t="n">
        <x:v>46190</x:v>
      </x:c>
      <x:c r="I6" s="11" t="n">
        <x:v>46196</x:v>
      </x:c>
      <x:c r="J6" s="5" t="str">
        <x:v>未开始</x:v>
      </x:c>
      <x:c r="K6" s="5" t="str">
        <x:v>高</x:v>
      </x:c>
      <x:c r="L6" s="5" t="str"/>
    </x:row>
    <x:row r="7">
      <x:c r="A7" s="5" t="str">
        <x:v>T-004</x:v>
      </x:c>
      <x:c r="B7" s="5" t="str">
        <x:v>第1个月：跑通市场</x:v>
      </x:c>
      <x:c r="C7" s="5" t="str">
        <x:v>W3</x:v>
      </x:c>
      <x:c r="D7" s="5" t="str">
        <x:v>报价</x:v>
      </x:c>
      <x:c r="E7" s="5" t="str">
        <x:v>完成3类产品报价模板</x:v>
      </x:c>
      <x:c r="F7" s="5" t="str">
        <x:v>报价&amp;利润表</x:v>
      </x:c>
      <x:c r="G7" s="5" t="str">
        <x:v>幺儿</x:v>
      </x:c>
      <x:c r="H7" s="11" t="n">
        <x:v>46197</x:v>
      </x:c>
      <x:c r="I7" s="11" t="n">
        <x:v>46203</x:v>
      </x:c>
      <x:c r="J7" s="5" t="str">
        <x:v>未开始</x:v>
      </x:c>
      <x:c r="K7" s="5" t="str">
        <x:v>高</x:v>
      </x:c>
      <x:c r="L7" s="5" t="str"/>
    </x:row>
    <x:row r="8">
      <x:c r="A8" s="5" t="str">
        <x:v>T-005</x:v>
      </x:c>
      <x:c r="B8" s="5" t="str">
        <x:v>第1个月：跑通市场</x:v>
      </x:c>
      <x:c r="C8" s="5" t="str">
        <x:v>W4</x:v>
      </x:c>
      <x:c r="D8" s="5" t="str">
        <x:v>复盘</x:v>
      </x:c>
      <x:c r="E8" s="5" t="str">
        <x:v>判断主推国家和主推产品</x:v>
      </x:c>
      <x:c r="F8" s="5" t="str">
        <x:v>月度复盘结论</x:v>
      </x:c>
      <x:c r="G8" s="5" t="str">
        <x:v>父亲大人/幺儿</x:v>
      </x:c>
      <x:c r="H8" s="11" t="n">
        <x:v>46204</x:v>
      </x:c>
      <x:c r="I8" s="11" t="n">
        <x:v>46212</x:v>
      </x:c>
      <x:c r="J8" s="5" t="str">
        <x:v>未开始</x:v>
      </x:c>
      <x:c r="K8" s="5" t="str">
        <x:v>高</x:v>
      </x:c>
      <x:c r="L8" s="5" t="str"/>
    </x:row>
    <x:row r="9">
      <x:c r="A9" s="5" t="str">
        <x:v>T-006</x:v>
      </x:c>
      <x:c r="B9" s="5" t="str">
        <x:v>第2个月：开通渠道</x:v>
      </x:c>
      <x:c r="C9" s="5" t="str">
        <x:v>W5</x:v>
      </x:c>
      <x:c r="D9" s="5" t="str">
        <x:v>阿里国际站</x:v>
      </x:c>
      <x:c r="E9" s="5" t="str">
        <x:v>准备店铺首页和产品详情页资料</x:v>
      </x:c>
      <x:c r="F9" s="5" t="str">
        <x:v>产品标题/详情/FAQ</x:v>
      </x:c>
      <x:c r="G9" s="5" t="str">
        <x:v>幺儿</x:v>
      </x:c>
      <x:c r="H9" s="11" t="n">
        <x:v>46213</x:v>
      </x:c>
      <x:c r="I9" s="11" t="n">
        <x:v>46219</x:v>
      </x:c>
      <x:c r="J9" s="5" t="str">
        <x:v>未开始</x:v>
      </x:c>
      <x:c r="K9" s="5" t="str">
        <x:v>高</x:v>
      </x:c>
      <x:c r="L9" s="5" t="str"/>
    </x:row>
    <x:row r="10">
      <x:c r="A10" s="5" t="str">
        <x:v>T-007</x:v>
      </x:c>
      <x:c r="B10" s="5" t="str">
        <x:v>第2个月：开通渠道</x:v>
      </x:c>
      <x:c r="C10" s="5" t="str">
        <x:v>W6</x:v>
      </x:c>
      <x:c r="D10" s="5" t="str">
        <x:v>独立站</x:v>
      </x:c>
      <x:c r="E10" s="5" t="str">
        <x:v>规划网站栏目和SEO关键词</x:v>
      </x:c>
      <x:c r="F10" s="5" t="str">
        <x:v>站点结构、关键词表</x:v>
      </x:c>
      <x:c r="G10" s="5" t="str">
        <x:v>幺儿</x:v>
      </x:c>
      <x:c r="H10" s="11" t="n">
        <x:v>46220</x:v>
      </x:c>
      <x:c r="I10" s="11" t="n">
        <x:v>46226</x:v>
      </x:c>
      <x:c r="J10" s="5" t="str">
        <x:v>未开始</x:v>
      </x:c>
      <x:c r="K10" s="5" t="str">
        <x:v>中</x:v>
      </x:c>
      <x:c r="L10" s="5" t="str"/>
    </x:row>
    <x:row r="11">
      <x:c r="A11" s="5" t="str">
        <x:v>T-008</x:v>
      </x:c>
      <x:c r="B11" s="5" t="str">
        <x:v>第2个月：开通渠道</x:v>
      </x:c>
      <x:c r="C11" s="5" t="str">
        <x:v>W7</x:v>
      </x:c>
      <x:c r="D11" s="5" t="str">
        <x:v>社媒</x:v>
      </x:c>
      <x:c r="E11" s="5" t="str">
        <x:v>建立LinkedIn/Facebook/YouTube内容节奏</x:v>
      </x:c>
      <x:c r="F11" s="5" t="str">
        <x:v>内容日历</x:v>
      </x:c>
      <x:c r="G11" s="5" t="str">
        <x:v>父亲大人/幺儿</x:v>
      </x:c>
      <x:c r="H11" s="11" t="n">
        <x:v>46227</x:v>
      </x:c>
      <x:c r="I11" s="11" t="n">
        <x:v>46233</x:v>
      </x:c>
      <x:c r="J11" s="5" t="str">
        <x:v>未开始</x:v>
      </x:c>
      <x:c r="K11" s="5" t="str">
        <x:v>中</x:v>
      </x:c>
      <x:c r="L11" s="5" t="str"/>
    </x:row>
    <x:row r="12">
      <x:c r="A12" s="5" t="str">
        <x:v>T-009</x:v>
      </x:c>
      <x:c r="B12" s="5" t="str">
        <x:v>第2个月：开通渠道</x:v>
      </x:c>
      <x:c r="C12" s="5" t="str">
        <x:v>W8</x:v>
      </x:c>
      <x:c r="D12" s="5" t="str">
        <x:v>询盘</x:v>
      </x:c>
      <x:c r="E12" s="5" t="str">
        <x:v>搭建询盘回复和客户分级模板</x:v>
      </x:c>
      <x:c r="F12" s="5" t="str">
        <x:v>询盘SOP</x:v>
      </x:c>
      <x:c r="G12" s="5" t="str">
        <x:v>幺儿</x:v>
      </x:c>
      <x:c r="H12" s="11" t="n">
        <x:v>46234</x:v>
      </x:c>
      <x:c r="I12" s="11" t="n">
        <x:v>46242</x:v>
      </x:c>
      <x:c r="J12" s="5" t="str">
        <x:v>未开始</x:v>
      </x:c>
      <x:c r="K12" s="5" t="str">
        <x:v>高</x:v>
      </x:c>
      <x:c r="L12" s="5" t="str"/>
    </x:row>
    <x:row r="13">
      <x:c r="A13" s="5" t="str">
        <x:v>T-010</x:v>
      </x:c>
      <x:c r="B13" s="5" t="str">
        <x:v>第3个月：成熟流程</x:v>
      </x:c>
      <x:c r="C13" s="5" t="str">
        <x:v>W9</x:v>
      </x:c>
      <x:c r="D13" s="5" t="str">
        <x:v>外贸流程</x:v>
      </x:c>
      <x:c r="E13" s="5" t="str">
        <x:v>完成询盘-报价-付款-发货SOP</x:v>
      </x:c>
      <x:c r="F13" s="5" t="str">
        <x:v>外贸流程SOP</x:v>
      </x:c>
      <x:c r="G13" s="5" t="str">
        <x:v>幺儿</x:v>
      </x:c>
      <x:c r="H13" s="11" t="n">
        <x:v>46243</x:v>
      </x:c>
      <x:c r="I13" s="11" t="n">
        <x:v>46250</x:v>
      </x:c>
      <x:c r="J13" s="5" t="str">
        <x:v>未开始</x:v>
      </x:c>
      <x:c r="K13" s="5" t="str">
        <x:v>高</x:v>
      </x:c>
      <x:c r="L13" s="5" t="str"/>
    </x:row>
    <x:row r="14">
      <x:c r="A14" s="5" t="str">
        <x:v>T-011</x:v>
      </x:c>
      <x:c r="B14" s="5" t="str">
        <x:v>第3个月：成熟流程</x:v>
      </x:c>
      <x:c r="C14" s="5" t="str">
        <x:v>W10</x:v>
      </x:c>
      <x:c r="D14" s="5" t="str">
        <x:v>供应链</x:v>
      </x:c>
      <x:c r="E14" s="5" t="str">
        <x:v>确认核心供应商、物流、付款方式</x:v>
      </x:c>
      <x:c r="F14" s="5" t="str">
        <x:v>供应商&amp;物流表</x:v>
      </x:c>
      <x:c r="G14" s="5" t="str">
        <x:v>父亲大人/幺儿</x:v>
      </x:c>
      <x:c r="H14" s="11" t="n">
        <x:v>46251</x:v>
      </x:c>
      <x:c r="I14" s="11" t="n">
        <x:v>46257</x:v>
      </x:c>
      <x:c r="J14" s="5" t="str">
        <x:v>未开始</x:v>
      </x:c>
      <x:c r="K14" s="5" t="str">
        <x:v>高</x:v>
      </x:c>
      <x:c r="L14" s="5" t="str"/>
    </x:row>
    <x:row r="15">
      <x:c r="A15" s="5" t="str">
        <x:v>T-012</x:v>
      </x:c>
      <x:c r="B15" s="5" t="str">
        <x:v>第3个月：成熟流程</x:v>
      </x:c>
      <x:c r="C15" s="5" t="str">
        <x:v>W11</x:v>
      </x:c>
      <x:c r="D15" s="5" t="str">
        <x:v>订单管理</x:v>
      </x:c>
      <x:c r="E15" s="5" t="str">
        <x:v>建立订单、合同、发票和售后模板</x:v>
      </x:c>
      <x:c r="F15" s="5" t="str">
        <x:v>订单管理模板包</x:v>
      </x:c>
      <x:c r="G15" s="5" t="str">
        <x:v>幺儿</x:v>
      </x:c>
      <x:c r="H15" s="11" t="n">
        <x:v>46258</x:v>
      </x:c>
      <x:c r="I15" s="11" t="n">
        <x:v>46264</x:v>
      </x:c>
      <x:c r="J15" s="5" t="str">
        <x:v>未开始</x:v>
      </x:c>
      <x:c r="K15" s="5" t="str">
        <x:v>中</x:v>
      </x:c>
      <x:c r="L15" s="5" t="str"/>
    </x:row>
    <x:row r="16">
      <x:c r="A16" s="5" t="str">
        <x:v>T-013</x:v>
      </x:c>
      <x:c r="B16" s="5" t="str">
        <x:v>第3个月：成熟流程</x:v>
      </x:c>
      <x:c r="C16" s="5" t="str">
        <x:v>W12</x:v>
      </x:c>
      <x:c r="D16" s="5" t="str">
        <x:v>公司化</x:v>
      </x:c>
      <x:c r="E16" s="5" t="str">
        <x:v>形成每周数据复盘机制</x:v>
      </x:c>
      <x:c r="F16" s="5" t="str">
        <x:v>周报模板和指标看板</x:v>
      </x:c>
      <x:c r="G16" s="5" t="str">
        <x:v>父亲大人/幺儿</x:v>
      </x:c>
      <x:c r="H16" s="11" t="n">
        <x:v>46265</x:v>
      </x:c>
      <x:c r="I16" s="11" t="n">
        <x:v>46272</x:v>
      </x:c>
      <x:c r="J16" s="5" t="str">
        <x:v>未开始</x:v>
      </x:c>
      <x:c r="K16" s="5" t="str">
        <x:v>高</x:v>
      </x:c>
      <x:c r="L16" s="5" t="str"/>
    </x:row>
    <x:row r="17">
      <x:c r="H17" s="12"/>
      <x:c r="I17" s="12"/>
    </x:row>
    <x:row r="18">
      <x:c r="H18" s="12"/>
      <x:c r="I18" s="12"/>
    </x:row>
    <x:row r="19">
      <x:c r="H19" s="12"/>
      <x:c r="I19" s="12"/>
    </x:row>
    <x:row r="20">
      <x:c r="H20" s="12"/>
      <x:c r="I20" s="12"/>
    </x:row>
    <x:row r="21">
      <x:c r="H21" s="12"/>
      <x:c r="I21" s="12"/>
    </x:row>
    <x:row r="22">
      <x:c r="H22" s="12"/>
      <x:c r="I22" s="12"/>
    </x:row>
    <x:row r="23">
      <x:c r="H23" s="12"/>
      <x:c r="I23" s="12"/>
    </x:row>
    <x:row r="24">
      <x:c r="H24" s="12"/>
      <x:c r="I24" s="12"/>
    </x:row>
    <x:row r="25">
      <x:c r="H25" s="12"/>
      <x:c r="I25" s="12"/>
    </x:row>
    <x:row r="26">
      <x:c r="H26" s="12"/>
      <x:c r="I26" s="12"/>
    </x:row>
    <x:row r="27">
      <x:c r="H27" s="12"/>
      <x:c r="I27" s="12"/>
    </x:row>
    <x:row r="28">
      <x:c r="H28" s="12"/>
      <x:c r="I28" s="12"/>
    </x:row>
    <x:row r="29">
      <x:c r="H29" s="12"/>
      <x:c r="I29" s="12"/>
    </x:row>
    <x:row r="30">
      <x:c r="H30" s="12"/>
      <x:c r="I30" s="12"/>
    </x:row>
    <x:row r="31">
      <x:c r="H31" s="12"/>
      <x:c r="I31" s="12"/>
    </x:row>
    <x:row r="32">
      <x:c r="H32" s="12"/>
      <x:c r="I32" s="12"/>
    </x:row>
    <x:row r="33">
      <x:c r="H33" s="12"/>
      <x:c r="I33" s="12"/>
    </x:row>
    <x:row r="34">
      <x:c r="H34" s="12"/>
      <x:c r="I34" s="12"/>
    </x:row>
    <x:row r="35">
      <x:c r="H35" s="12"/>
      <x:c r="I35" s="12"/>
    </x:row>
    <x:row r="36">
      <x:c r="H36" s="12"/>
      <x:c r="I36" s="12"/>
    </x:row>
    <x:row r="37">
      <x:c r="H37" s="12"/>
      <x:c r="I37" s="12"/>
    </x:row>
    <x:row r="38">
      <x:c r="H38" s="12"/>
      <x:c r="I38" s="12"/>
    </x:row>
    <x:row r="39">
      <x:c r="H39" s="12"/>
      <x:c r="I39" s="12"/>
    </x:row>
    <x:row r="40">
      <x:c r="H40" s="12"/>
      <x:c r="I40" s="12"/>
    </x:row>
    <x:row r="41">
      <x:c r="H41" s="12"/>
      <x:c r="I41" s="12"/>
    </x:row>
    <x:row r="42">
      <x:c r="H42" s="12"/>
      <x:c r="I42" s="12"/>
    </x:row>
    <x:row r="43">
      <x:c r="H43" s="12"/>
      <x:c r="I43" s="12"/>
    </x:row>
    <x:row r="44">
      <x:c r="H44" s="12"/>
      <x:c r="I44" s="12"/>
    </x:row>
    <x:row r="45">
      <x:c r="H45" s="12"/>
      <x:c r="I45" s="12"/>
    </x:row>
    <x:row r="46">
      <x:c r="H46" s="12"/>
      <x:c r="I46" s="12"/>
    </x:row>
    <x:row r="47">
      <x:c r="H47" s="12"/>
      <x:c r="I47" s="12"/>
    </x:row>
    <x:row r="48">
      <x:c r="H48" s="12"/>
      <x:c r="I48" s="12"/>
    </x:row>
    <x:row r="49">
      <x:c r="H49" s="12"/>
      <x:c r="I49" s="12"/>
    </x:row>
    <x:row r="50">
      <x:c r="H50" s="12"/>
      <x:c r="I50" s="12"/>
    </x:row>
    <x:row r="51">
      <x:c r="H51" s="12"/>
      <x:c r="I51" s="12"/>
    </x:row>
    <x:row r="52">
      <x:c r="H52" s="12"/>
      <x:c r="I52" s="12"/>
    </x:row>
    <x:row r="53">
      <x:c r="H53" s="12"/>
      <x:c r="I53" s="12"/>
    </x:row>
    <x:row r="54">
      <x:c r="H54" s="12"/>
      <x:c r="I54" s="12"/>
    </x:row>
    <x:row r="55">
      <x:c r="H55" s="12"/>
      <x:c r="I55" s="12"/>
    </x:row>
    <x:row r="56">
      <x:c r="H56" s="12"/>
      <x:c r="I56" s="12"/>
    </x:row>
    <x:row r="57">
      <x:c r="H57" s="12"/>
      <x:c r="I57" s="12"/>
    </x:row>
    <x:row r="58">
      <x:c r="H58" s="12"/>
      <x:c r="I58" s="12"/>
    </x:row>
    <x:row r="59">
      <x:c r="H59" s="12"/>
      <x:c r="I59" s="12"/>
    </x:row>
    <x:row r="60">
      <x:c r="H60" s="12"/>
      <x:c r="I60" s="12"/>
    </x:row>
    <x:row r="61">
      <x:c r="H61" s="12"/>
      <x:c r="I61" s="12"/>
    </x:row>
    <x:row r="62">
      <x:c r="H62" s="12"/>
      <x:c r="I62" s="12"/>
    </x:row>
    <x:row r="63">
      <x:c r="H63" s="12"/>
      <x:c r="I63" s="12"/>
    </x:row>
    <x:row r="64">
      <x:c r="H64" s="12"/>
      <x:c r="I64" s="12"/>
    </x:row>
    <x:row r="65">
      <x:c r="H65" s="12"/>
      <x:c r="I65" s="12"/>
    </x:row>
    <x:row r="66">
      <x:c r="H66" s="12"/>
      <x:c r="I66" s="12"/>
    </x:row>
    <x:row r="67">
      <x:c r="H67" s="12"/>
      <x:c r="I67" s="12"/>
    </x:row>
    <x:row r="68">
      <x:c r="H68" s="12"/>
      <x:c r="I68" s="12"/>
    </x:row>
    <x:row r="69">
      <x:c r="H69" s="12"/>
      <x:c r="I69" s="12"/>
    </x:row>
    <x:row r="70">
      <x:c r="H70" s="12"/>
      <x:c r="I70" s="12"/>
    </x:row>
    <x:row r="71">
      <x:c r="H71" s="12"/>
      <x:c r="I71" s="12"/>
    </x:row>
    <x:row r="72">
      <x:c r="H72" s="12"/>
      <x:c r="I72" s="12"/>
    </x:row>
    <x:row r="73">
      <x:c r="H73" s="12"/>
      <x:c r="I73" s="12"/>
    </x:row>
    <x:row r="74">
      <x:c r="H74" s="12"/>
      <x:c r="I74" s="12"/>
    </x:row>
    <x:row r="75">
      <x:c r="H75" s="12"/>
      <x:c r="I75" s="12"/>
    </x:row>
    <x:row r="76">
      <x:c r="H76" s="12"/>
      <x:c r="I76" s="12"/>
    </x:row>
    <x:row r="77">
      <x:c r="H77" s="12"/>
      <x:c r="I77" s="12"/>
    </x:row>
    <x:row r="78">
      <x:c r="H78" s="12"/>
      <x:c r="I78" s="12"/>
    </x:row>
    <x:row r="79">
      <x:c r="H79" s="12"/>
      <x:c r="I79" s="12"/>
    </x:row>
    <x:row r="80">
      <x:c r="H80" s="12"/>
      <x:c r="I80" s="12"/>
    </x:row>
    <x:row r="81">
      <x:c r="H81" s="12"/>
      <x:c r="I81" s="12"/>
    </x:row>
    <x:row r="82">
      <x:c r="H82" s="12"/>
      <x:c r="I82" s="12"/>
    </x:row>
    <x:row r="83">
      <x:c r="H83" s="12"/>
      <x:c r="I83" s="12"/>
    </x:row>
    <x:row r="84">
      <x:c r="H84" s="12"/>
      <x:c r="I84" s="12"/>
    </x:row>
    <x:row r="85">
      <x:c r="H85" s="12"/>
      <x:c r="I85" s="12"/>
    </x:row>
    <x:row r="86">
      <x:c r="H86" s="12"/>
      <x:c r="I86" s="12"/>
    </x:row>
    <x:row r="87">
      <x:c r="H87" s="12"/>
      <x:c r="I87" s="12"/>
    </x:row>
    <x:row r="88">
      <x:c r="H88" s="12"/>
      <x:c r="I88" s="12"/>
    </x:row>
    <x:row r="89">
      <x:c r="H89" s="12"/>
      <x:c r="I89" s="12"/>
    </x:row>
    <x:row r="90">
      <x:c r="H90" s="12"/>
      <x:c r="I90" s="12"/>
    </x:row>
    <x:row r="91">
      <x:c r="H91" s="12"/>
      <x:c r="I91" s="12"/>
    </x:row>
    <x:row r="92">
      <x:c r="H92" s="12"/>
      <x:c r="I92" s="12"/>
    </x:row>
    <x:row r="93">
      <x:c r="H93" s="12"/>
      <x:c r="I93" s="12"/>
    </x:row>
    <x:row r="94">
      <x:c r="H94" s="12"/>
      <x:c r="I94" s="12"/>
    </x:row>
    <x:row r="95">
      <x:c r="H95" s="12"/>
      <x:c r="I95" s="12"/>
    </x:row>
    <x:row r="96">
      <x:c r="H96" s="12"/>
      <x:c r="I96" s="12"/>
    </x:row>
    <x:row r="97">
      <x:c r="H97" s="12"/>
      <x:c r="I97" s="12"/>
    </x:row>
    <x:row r="98">
      <x:c r="H98" s="12"/>
      <x:c r="I98" s="12"/>
    </x:row>
    <x:row r="99">
      <x:c r="H99" s="12"/>
      <x:c r="I99" s="12"/>
    </x:row>
    <x:row r="100">
      <x:c r="H100" s="12"/>
      <x:c r="I100" s="12"/>
    </x:row>
    <x:row r="101">
      <x:c r="H101" s="12"/>
      <x:c r="I101" s="12"/>
    </x:row>
    <x:row r="102">
      <x:c r="H102" s="12"/>
      <x:c r="I102" s="12"/>
    </x:row>
    <x:row r="103">
      <x:c r="H103" s="12"/>
      <x:c r="I103" s="12"/>
    </x:row>
    <x:row r="104">
      <x:c r="H104" s="12"/>
      <x:c r="I104" s="12"/>
    </x:row>
    <x:row r="105">
      <x:c r="H105" s="12"/>
      <x:c r="I105" s="12"/>
    </x:row>
    <x:row r="106">
      <x:c r="H106" s="12"/>
      <x:c r="I106" s="12"/>
    </x:row>
    <x:row r="107">
      <x:c r="H107" s="12"/>
      <x:c r="I107" s="12"/>
    </x:row>
    <x:row r="108">
      <x:c r="H108" s="12"/>
      <x:c r="I108" s="12"/>
    </x:row>
    <x:row r="109">
      <x:c r="H109" s="12"/>
      <x:c r="I109" s="12"/>
    </x:row>
    <x:row r="110">
      <x:c r="H110" s="12"/>
      <x:c r="I110" s="12"/>
    </x:row>
    <x:row r="111">
      <x:c r="H111" s="12"/>
      <x:c r="I111" s="12"/>
    </x:row>
    <x:row r="112">
      <x:c r="H112" s="12"/>
      <x:c r="I112" s="12"/>
    </x:row>
    <x:row r="113">
      <x:c r="H113" s="12"/>
      <x:c r="I113" s="12"/>
    </x:row>
    <x:row r="114">
      <x:c r="H114" s="12"/>
      <x:c r="I114" s="12"/>
    </x:row>
    <x:row r="115">
      <x:c r="H115" s="12"/>
      <x:c r="I115" s="12"/>
    </x:row>
    <x:row r="116">
      <x:c r="H116" s="12"/>
      <x:c r="I116" s="12"/>
    </x:row>
    <x:row r="117">
      <x:c r="H117" s="12"/>
      <x:c r="I117" s="12"/>
    </x:row>
    <x:row r="118">
      <x:c r="H118" s="12"/>
      <x:c r="I118" s="12"/>
    </x:row>
    <x:row r="119">
      <x:c r="H119" s="12"/>
      <x:c r="I119" s="12"/>
    </x:row>
    <x:row r="120">
      <x:c r="H120" s="12"/>
      <x:c r="I120" s="12"/>
    </x:row>
    <x:row r="121">
      <x:c r="H121" s="12"/>
      <x:c r="I121" s="12"/>
    </x:row>
    <x:row r="122">
      <x:c r="H122" s="12"/>
      <x:c r="I122" s="12"/>
    </x:row>
    <x:row r="123">
      <x:c r="H123" s="12"/>
      <x:c r="I123" s="12"/>
    </x:row>
    <x:row r="124">
      <x:c r="H124" s="12"/>
      <x:c r="I124" s="12"/>
    </x:row>
    <x:row r="125">
      <x:c r="H125" s="12"/>
      <x:c r="I125" s="12"/>
    </x:row>
    <x:row r="126">
      <x:c r="H126" s="12"/>
      <x:c r="I126" s="12"/>
    </x:row>
    <x:row r="127">
      <x:c r="H127" s="12"/>
      <x:c r="I127" s="12"/>
    </x:row>
    <x:row r="128">
      <x:c r="H128" s="12"/>
      <x:c r="I128" s="12"/>
    </x:row>
    <x:row r="129">
      <x:c r="H129" s="12"/>
      <x:c r="I129" s="12"/>
    </x:row>
    <x:row r="130">
      <x:c r="H130" s="12"/>
      <x:c r="I130" s="12"/>
    </x:row>
    <x:row r="131">
      <x:c r="H131" s="12"/>
      <x:c r="I131" s="12"/>
    </x:row>
    <x:row r="132">
      <x:c r="H132" s="12"/>
      <x:c r="I132" s="12"/>
    </x:row>
    <x:row r="133">
      <x:c r="H133" s="12"/>
      <x:c r="I133" s="12"/>
    </x:row>
    <x:row r="134">
      <x:c r="H134" s="12"/>
      <x:c r="I134" s="12"/>
    </x:row>
    <x:row r="135">
      <x:c r="H135" s="12"/>
      <x:c r="I135" s="12"/>
    </x:row>
    <x:row r="136">
      <x:c r="H136" s="12"/>
      <x:c r="I136" s="12"/>
    </x:row>
    <x:row r="137">
      <x:c r="H137" s="12"/>
      <x:c r="I137" s="12"/>
    </x:row>
    <x:row r="138">
      <x:c r="H138" s="12"/>
      <x:c r="I138" s="12"/>
    </x:row>
    <x:row r="139">
      <x:c r="H139" s="12"/>
      <x:c r="I139" s="12"/>
    </x:row>
    <x:row r="140">
      <x:c r="H140" s="12"/>
      <x:c r="I140" s="12"/>
    </x:row>
    <x:row r="141">
      <x:c r="H141" s="12"/>
      <x:c r="I141" s="12"/>
    </x:row>
    <x:row r="142">
      <x:c r="H142" s="12"/>
      <x:c r="I142" s="12"/>
    </x:row>
    <x:row r="143">
      <x:c r="H143" s="12"/>
      <x:c r="I143" s="12"/>
    </x:row>
    <x:row r="144">
      <x:c r="H144" s="12"/>
      <x:c r="I144" s="12"/>
    </x:row>
    <x:row r="145">
      <x:c r="H145" s="12"/>
      <x:c r="I145" s="12"/>
    </x:row>
    <x:row r="146">
      <x:c r="H146" s="12"/>
      <x:c r="I146" s="12"/>
    </x:row>
    <x:row r="147">
      <x:c r="H147" s="12"/>
      <x:c r="I147" s="12"/>
    </x:row>
    <x:row r="148">
      <x:c r="H148" s="12"/>
      <x:c r="I148" s="12"/>
    </x:row>
    <x:row r="149">
      <x:c r="H149" s="12"/>
      <x:c r="I149" s="12"/>
    </x:row>
    <x:row r="150">
      <x:c r="H150" s="12"/>
      <x:c r="I150" s="12"/>
    </x:row>
    <x:row r="151">
      <x:c r="H151" s="12"/>
      <x:c r="I151" s="12"/>
    </x:row>
    <x:row r="152">
      <x:c r="H152" s="12"/>
      <x:c r="I152" s="12"/>
    </x:row>
    <x:row r="153">
      <x:c r="H153" s="12"/>
      <x:c r="I153" s="12"/>
    </x:row>
    <x:row r="154">
      <x:c r="H154" s="12"/>
      <x:c r="I154" s="12"/>
    </x:row>
    <x:row r="155">
      <x:c r="H155" s="12"/>
      <x:c r="I155" s="12"/>
    </x:row>
    <x:row r="156">
      <x:c r="H156" s="12"/>
      <x:c r="I156" s="12"/>
    </x:row>
    <x:row r="157">
      <x:c r="H157" s="12"/>
      <x:c r="I157" s="12"/>
    </x:row>
    <x:row r="158">
      <x:c r="H158" s="12"/>
      <x:c r="I158" s="12"/>
    </x:row>
    <x:row r="159">
      <x:c r="H159" s="12"/>
      <x:c r="I159" s="12"/>
    </x:row>
    <x:row r="160">
      <x:c r="H160" s="12"/>
      <x:c r="I160" s="12"/>
    </x:row>
    <x:row r="161">
      <x:c r="H161" s="12"/>
      <x:c r="I161" s="12"/>
    </x:row>
    <x:row r="162">
      <x:c r="H162" s="12"/>
      <x:c r="I162" s="12"/>
    </x:row>
    <x:row r="163">
      <x:c r="H163" s="12"/>
      <x:c r="I163" s="12"/>
    </x:row>
    <x:row r="164">
      <x:c r="H164" s="12"/>
      <x:c r="I164" s="12"/>
    </x:row>
    <x:row r="165">
      <x:c r="H165" s="12"/>
      <x:c r="I165" s="12"/>
    </x:row>
    <x:row r="166">
      <x:c r="H166" s="12"/>
      <x:c r="I166" s="12"/>
    </x:row>
    <x:row r="167">
      <x:c r="H167" s="12"/>
      <x:c r="I167" s="12"/>
    </x:row>
    <x:row r="168">
      <x:c r="H168" s="12"/>
      <x:c r="I168" s="12"/>
    </x:row>
    <x:row r="169">
      <x:c r="H169" s="12"/>
      <x:c r="I169" s="12"/>
    </x:row>
    <x:row r="170">
      <x:c r="H170" s="12"/>
      <x:c r="I170" s="12"/>
    </x:row>
    <x:row r="171">
      <x:c r="H171" s="12"/>
      <x:c r="I171" s="12"/>
    </x:row>
    <x:row r="172">
      <x:c r="H172" s="12"/>
      <x:c r="I172" s="12"/>
    </x:row>
    <x:row r="173">
      <x:c r="H173" s="12"/>
      <x:c r="I173" s="12"/>
    </x:row>
    <x:row r="174">
      <x:c r="H174" s="12"/>
      <x:c r="I174" s="12"/>
    </x:row>
    <x:row r="175">
      <x:c r="H175" s="12"/>
      <x:c r="I175" s="12"/>
    </x:row>
    <x:row r="176">
      <x:c r="H176" s="12"/>
      <x:c r="I176" s="12"/>
    </x:row>
    <x:row r="177">
      <x:c r="H177" s="12"/>
      <x:c r="I177" s="12"/>
    </x:row>
    <x:row r="178">
      <x:c r="H178" s="12"/>
      <x:c r="I178" s="12"/>
    </x:row>
    <x:row r="179">
      <x:c r="H179" s="12"/>
      <x:c r="I179" s="12"/>
    </x:row>
    <x:row r="180">
      <x:c r="H180" s="12"/>
      <x:c r="I180" s="12"/>
    </x:row>
    <x:row r="181">
      <x:c r="H181" s="12"/>
      <x:c r="I181" s="12"/>
    </x:row>
    <x:row r="182">
      <x:c r="H182" s="12"/>
      <x:c r="I182" s="12"/>
    </x:row>
    <x:row r="183">
      <x:c r="H183" s="12"/>
      <x:c r="I183" s="12"/>
    </x:row>
    <x:row r="184">
      <x:c r="H184" s="12"/>
      <x:c r="I184" s="12"/>
    </x:row>
    <x:row r="185">
      <x:c r="H185" s="12"/>
      <x:c r="I185" s="12"/>
    </x:row>
    <x:row r="186">
      <x:c r="H186" s="12"/>
      <x:c r="I186" s="12"/>
    </x:row>
    <x:row r="187">
      <x:c r="H187" s="12"/>
      <x:c r="I187" s="12"/>
    </x:row>
    <x:row r="188">
      <x:c r="H188" s="12"/>
      <x:c r="I188" s="12"/>
    </x:row>
    <x:row r="189">
      <x:c r="H189" s="12"/>
      <x:c r="I189" s="12"/>
    </x:row>
    <x:row r="190">
      <x:c r="H190" s="12"/>
      <x:c r="I190" s="12"/>
    </x:row>
    <x:row r="191">
      <x:c r="H191" s="12"/>
      <x:c r="I191" s="12"/>
    </x:row>
    <x:row r="192">
      <x:c r="H192" s="12"/>
      <x:c r="I192" s="12"/>
    </x:row>
    <x:row r="193">
      <x:c r="H193" s="12"/>
      <x:c r="I193" s="12"/>
    </x:row>
    <x:row r="194">
      <x:c r="H194" s="12"/>
      <x:c r="I194" s="12"/>
    </x:row>
    <x:row r="195">
      <x:c r="H195" s="12"/>
      <x:c r="I195" s="12"/>
    </x:row>
    <x:row r="196">
      <x:c r="H196" s="12"/>
      <x:c r="I196" s="12"/>
    </x:row>
    <x:row r="197">
      <x:c r="H197" s="12"/>
      <x:c r="I197" s="12"/>
    </x:row>
    <x:row r="198">
      <x:c r="H198" s="12"/>
      <x:c r="I198" s="12"/>
    </x:row>
    <x:row r="199">
      <x:c r="H199" s="12"/>
      <x:c r="I199" s="12"/>
    </x:row>
    <x:row r="200">
      <x:c r="H200" s="12"/>
      <x:c r="I200" s="12"/>
    </x:row>
    <x:row r="201">
      <x:c r="H201" s="12"/>
      <x:c r="I201" s="12"/>
    </x:row>
    <x:row r="202">
      <x:c r="H202" s="12"/>
      <x:c r="I202" s="12"/>
    </x:row>
    <x:row r="203">
      <x:c r="H203" s="12"/>
      <x:c r="I203" s="12"/>
    </x:row>
  </x:sheetData>
  <x:conditionalFormatting sqref="A4:L203">
    <x:cfRule type="expression" dxfId="15" priority="1">
      <x:formula>$J4="已完成"</x:formula>
    </x:cfRule>
    <x:cfRule type="expression" dxfId="16" priority="2">
      <x:formula>$J4="进行中"</x:formula>
    </x:cfRule>
    <x:cfRule type="expression" dxfId="17" priority="3">
      <x:formula>$J4="风险"</x:formula>
    </x:cfRule>
  </x:conditionalFormatting>
  <x:dataValidations count="2">
    <x:dataValidation type="list" sqref="J4:J203">
      <x:formula1>下拉选项!$A$2:$A$6</x:formula1>
    </x:dataValidation>
    <x:dataValidation type="list" sqref="K4:K203">
      <x:formula1>下拉选项!$F$2:$F$4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6b64f1a09b489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.220000267028809" hidden="0" customWidth="1"/>
    <x:col min="3" max="3" width="15.5600004196167" hidden="0" customWidth="1"/>
    <x:col min="4" max="4" width="12.220000267028809" hidden="0" customWidth="1"/>
    <x:col min="5" max="5" width="11.109999656677246" hidden="0" customWidth="1"/>
    <x:col min="6" max="6" width="8.890000343322754" hidden="0" customWidth="1"/>
    <x:col min="7" max="7" width="16.670000076293945" hidden="0" customWidth="1"/>
    <x:col min="8" max="8" width="13.329999923706055" hidden="0" customWidth="1"/>
  </x:cols>
  <x:sheetData>
    <x:row r="1">
      <x:c r="A1" s="4" t="str">
        <x:v>状态</x:v>
      </x:c>
      <x:c r="B1" s="4" t="str">
        <x:v>产品类型</x:v>
      </x:c>
      <x:c r="C1" s="4" t="str">
        <x:v>客户类型</x:v>
      </x:c>
      <x:c r="D1" s="4" t="str">
        <x:v>来源</x:v>
      </x:c>
      <x:c r="E1" s="4" t="str">
        <x:v>跟进阶段</x:v>
      </x:c>
      <x:c r="F1" s="4" t="str">
        <x:v>优先级</x:v>
      </x:c>
      <x:c r="G1" s="4" t="str">
        <x:v>付款方式</x:v>
      </x:c>
      <x:c r="H1" s="4" t="str">
        <x:v>渠道</x:v>
      </x:c>
    </x:row>
    <x:row r="2">
      <x:c r="A2" s="5" t="str">
        <x:v>未开始</x:v>
      </x:c>
      <x:c r="B2" s="5" t="str">
        <x:v>无人机配件</x:v>
      </x:c>
      <x:c r="C2" s="5" t="str">
        <x:v>经销商</x:v>
      </x:c>
      <x:c r="D2" s="5" t="str">
        <x:v>Alibaba</x:v>
      </x:c>
      <x:c r="E2" s="5" t="str">
        <x:v>新线索</x:v>
      </x:c>
      <x:c r="F2" s="5" t="str">
        <x:v>高</x:v>
      </x:c>
      <x:c r="G2" s="5" t="str">
        <x:v>T/T</x:v>
      </x:c>
      <x:c r="H2" s="5" t="str">
        <x:v>阿里国际站</x:v>
      </x:c>
    </x:row>
    <x:row r="3">
      <x:c r="A3" s="5" t="str">
        <x:v>进行中</x:v>
      </x:c>
      <x:c r="B3" s="5" t="str">
        <x:v>农用无人机</x:v>
      </x:c>
      <x:c r="C3" s="5" t="str">
        <x:v>终端农场/合作社</x:v>
      </x:c>
      <x:c r="D3" s="5" t="str">
        <x:v>Google</x:v>
      </x:c>
      <x:c r="E3" s="5" t="str">
        <x:v>已联系</x:v>
      </x:c>
      <x:c r="F3" s="5" t="str">
        <x:v>中</x:v>
      </x:c>
      <x:c r="G3" s="5" t="str">
        <x:v>PayPal</x:v>
      </x:c>
      <x:c r="H3" s="5" t="str">
        <x:v>Google独立站</x:v>
      </x:c>
    </x:row>
    <x:row r="4">
      <x:c r="A4" s="5" t="str">
        <x:v>已完成</x:v>
      </x:c>
      <x:c r="B4" s="5" t="str">
        <x:v>FPV</x:v>
      </x:c>
      <x:c r="C4" s="5" t="str">
        <x:v>系统集成商</x:v>
      </x:c>
      <x:c r="D4" s="5" t="str">
        <x:v>LinkedIn</x:v>
      </x:c>
      <x:c r="E4" s="5" t="str">
        <x:v>已报价</x:v>
      </x:c>
      <x:c r="F4" s="5" t="str">
        <x:v>低</x:v>
      </x:c>
      <x:c r="G4" s="5" t="str">
        <x:v>信用卡</x:v>
      </x:c>
      <x:c r="H4" s="5" t="str">
        <x:v>LinkedIn</x:v>
      </x:c>
    </x:row>
    <x:row r="5">
      <x:c r="A5" s="5" t="str">
        <x:v>风险</x:v>
      </x:c>
      <x:c r="B5" s="5" t="str">
        <x:v>工业无人机</x:v>
      </x:c>
      <x:c r="C5" s="5" t="str">
        <x:v>政府/公共机构</x:v>
      </x:c>
      <x:c r="D5" s="5" t="str">
        <x:v>Facebook</x:v>
      </x:c>
      <x:c r="E5" s="5" t="str">
        <x:v>样品/测试</x:v>
      </x:c>
      <x:c r="F5" s="5" t="str"/>
      <x:c r="G5" s="5" t="str">
        <x:v>L/C</x:v>
      </x:c>
      <x:c r="H5" s="5" t="str">
        <x:v>Facebook</x:v>
      </x:c>
    </x:row>
    <x:row r="6">
      <x:c r="A6" s="5" t="str">
        <x:v>暂停</x:v>
      </x:c>
      <x:c r="B6" s="5" t="str">
        <x:v>整机</x:v>
      </x:c>
      <x:c r="C6" s="5" t="str">
        <x:v>维修商</x:v>
      </x:c>
      <x:c r="D6" s="5" t="str">
        <x:v>展会/社群</x:v>
      </x:c>
      <x:c r="E6" s="5" t="str">
        <x:v>谈判中</x:v>
      </x:c>
      <x:c r="F6" s="5" t="str"/>
      <x:c r="G6" s="5" t="str">
        <x:v>Alibaba Trade Assurance</x:v>
      </x:c>
      <x:c r="H6" s="5" t="str">
        <x:v>YouTube</x:v>
      </x:c>
    </x:row>
    <x:row r="7">
      <x:c r="A7" s="5" t="str"/>
      <x:c r="B7" s="5" t="str"/>
      <x:c r="C7" s="5" t="str">
        <x:v>品牌商/OEM</x:v>
      </x:c>
      <x:c r="D7" s="5" t="str">
        <x:v>转介绍</x:v>
      </x:c>
      <x:c r="E7" s="5" t="str">
        <x:v>已成交</x:v>
      </x:c>
      <x:c r="F7" s="5" t="str"/>
      <x:c r="G7" s="5" t="str"/>
      <x:c r="H7" s="5" t="str">
        <x:v>TikTok</x:v>
      </x:c>
    </x:row>
    <x:row r="8">
      <x:c r="A8" s="5" t="str"/>
      <x:c r="B8" s="5" t="str"/>
      <x:c r="C8" s="5" t="str"/>
      <x:c r="D8" s="5" t="str">
        <x:v>其他</x:v>
      </x:c>
      <x:c r="E8" s="5" t="str">
        <x:v>沉默/丢失</x:v>
      </x:c>
      <x:c r="F8" s="5" t="str"/>
      <x:c r="G8" s="5" t="str"/>
      <x:c r="H8" s="5" t="str">
        <x:v>邮件开发</x:v>
      </x:c>
    </x:row>
  </x:sheetData>
  <x:pageMargins left="0.7" right="0.7" top="0.75" bottom="0.75" header="0.3" footer="0.3"/>
  <x:tableParts count="1">
    <x:tablePart xmlns:r="http://schemas.openxmlformats.org/officeDocument/2006/relationships" r:id="R2e30a04830c540e8"/>
  </x:tableParts>
</x:worksheet>
</file>